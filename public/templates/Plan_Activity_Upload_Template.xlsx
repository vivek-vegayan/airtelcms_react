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89B06962-748E-4090-9B3F-DCD23C12EB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pload" sheetId="1" r:id="rId1"/>
    <sheet name="Reference" sheetId="2" r:id="rId2"/>
    <sheet name="Teams" sheetId="3" r:id="rId3"/>
    <sheet name="How to load" sheetId="4" r:id="rId4"/>
  </sheets>
  <definedNames>
    <definedName name="REF_DOMAIN">Teams!$C$2:$C$7</definedName>
    <definedName name="REF_FUNCTION">Teams!$B$2:$B$7</definedName>
    <definedName name="REF_IMPACT">Reference!$E$2:$E$3</definedName>
    <definedName name="REF_LAYER">Reference!$B$2:$B$6</definedName>
    <definedName name="REF_LEVEL">Reference!$G$2:$G$6</definedName>
    <definedName name="REF_NETDOMAIN">Reference!$A$2:$A$3</definedName>
    <definedName name="REF_PLANTYPE">Reference!$C$2:$C$8</definedName>
    <definedName name="REF_SHIFT">Reference!$F$2:$F$6</definedName>
    <definedName name="REF_SUBDOMAIN">Teams!$D$2:$D$7</definedName>
    <definedName name="REF_TEAMPATH">Teams!$E$2:$E$7</definedName>
    <definedName name="REF_VENDOR">Reference!$D$2:$D$10</definedName>
    <definedName name="REF_VERTICAL">Teams!$A$2:$A$7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52" i="1" l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000-000001000000}">
      <text>
        <r>
          <rPr>
            <sz val="10"/>
            <rFont val="Arial"/>
            <family val="2"/>
          </rPr>
          <t>EXAMPLE block ACT-001 (yellow) - delete rows 3-8 before uploading.
Values taken from the 'Ring Upgradation_10G to 25G' screens.</t>
        </r>
      </text>
    </comment>
  </commentList>
</comments>
</file>

<file path=xl/sharedStrings.xml><?xml version="1.0" encoding="utf-8"?>
<sst xmlns="http://schemas.openxmlformats.org/spreadsheetml/2006/main" count="850" uniqueCount="314">
  <si>
    <t>KEY</t>
  </si>
  <si>
    <t>FILL ONCE PER ACTIVITY  (on the CRQ Review row only)</t>
  </si>
  <si>
    <t>ONE ROW PER PHASE</t>
  </si>
  <si>
    <t>HELPER</t>
  </si>
  <si>
    <t>Activity Ref *</t>
  </si>
  <si>
    <t>Vertical *</t>
  </si>
  <si>
    <t>Team Function *</t>
  </si>
  <si>
    <t>CHM Domain *</t>
  </si>
  <si>
    <t>CHM Sub Domain *</t>
  </si>
  <si>
    <t>Network Domain *</t>
  </si>
  <si>
    <t>Layer *</t>
  </si>
  <si>
    <t>Plan Type *</t>
  </si>
  <si>
    <t>Vendor / OEM *</t>
  </si>
  <si>
    <t>Impact *</t>
  </si>
  <si>
    <t>Activity Name *</t>
  </si>
  <si>
    <t>Phase</t>
  </si>
  <si>
    <t>Shift</t>
  </si>
  <si>
    <t>Min Level</t>
  </si>
  <si>
    <t>Time (Min) *</t>
  </si>
  <si>
    <t>Assigned Team
(full Team Path)</t>
  </si>
  <si>
    <t>Days Margin</t>
  </si>
  <si>
    <t>Reservation Margin</t>
  </si>
  <si>
    <t>Rollback Time (Min)</t>
  </si>
  <si>
    <t>Row Check</t>
  </si>
  <si>
    <t>ACT-001</t>
  </si>
  <si>
    <t>System Engineering</t>
  </si>
  <si>
    <t>Change Management</t>
  </si>
  <si>
    <t>IP Access</t>
  </si>
  <si>
    <t>MPLS Access</t>
  </si>
  <si>
    <t>MPLS-IP</t>
  </si>
  <si>
    <t>ACC</t>
  </si>
  <si>
    <t>Ring Upgradation_10G to 25G</t>
  </si>
  <si>
    <t>ALCATEL/ALTIPLANO/CIENA/CISCO/ECI/HUAWEI/JUNIPER/NOKIA/TEJAS/ZTE</t>
  </si>
  <si>
    <t>NSA</t>
  </si>
  <si>
    <t>CRQ Review</t>
  </si>
  <si>
    <t>N</t>
  </si>
  <si>
    <t>L4</t>
  </si>
  <si>
    <t>System Engineering &gt; Change Management &gt; IP Access &gt; MPLS Access</t>
  </si>
  <si>
    <t>Impact Analysis</t>
  </si>
  <si>
    <t>L3</t>
  </si>
  <si>
    <t>Scheduling</t>
  </si>
  <si>
    <t>G</t>
  </si>
  <si>
    <t>L2</t>
  </si>
  <si>
    <t>MOP Creation</t>
  </si>
  <si>
    <t>MOP Validation</t>
  </si>
  <si>
    <t>Execution</t>
  </si>
  <si>
    <t>ACT-002</t>
  </si>
  <si>
    <t>ACT-003</t>
  </si>
  <si>
    <t>ACT-004</t>
  </si>
  <si>
    <t>ACT-005</t>
  </si>
  <si>
    <t>ACT-006</t>
  </si>
  <si>
    <t>ACT-007</t>
  </si>
  <si>
    <t>ACT-008</t>
  </si>
  <si>
    <t>ACT-009</t>
  </si>
  <si>
    <t>ACT-010</t>
  </si>
  <si>
    <t>ACT-011</t>
  </si>
  <si>
    <t>ACT-012</t>
  </si>
  <si>
    <t>ACT-013</t>
  </si>
  <si>
    <t>ACT-014</t>
  </si>
  <si>
    <t>ACT-015</t>
  </si>
  <si>
    <t>ACT-016</t>
  </si>
  <si>
    <t>ACT-017</t>
  </si>
  <si>
    <t>ACT-018</t>
  </si>
  <si>
    <t>ACT-019</t>
  </si>
  <si>
    <t>ACT-020</t>
  </si>
  <si>
    <t>ACT-021</t>
  </si>
  <si>
    <t>ACT-022</t>
  </si>
  <si>
    <t>ACT-023</t>
  </si>
  <si>
    <t>ACT-024</t>
  </si>
  <si>
    <t>ACT-025</t>
  </si>
  <si>
    <t>Network Domain</t>
  </si>
  <si>
    <t>Layer</t>
  </si>
  <si>
    <t>Plan Type</t>
  </si>
  <si>
    <t>Vendor / OEM</t>
  </si>
  <si>
    <t>Change Impact</t>
  </si>
  <si>
    <t>Shift Code</t>
  </si>
  <si>
    <t>Label shown in the UI</t>
  </si>
  <si>
    <t>Phase name</t>
  </si>
  <si>
    <t>phase_id</t>
  </si>
  <si>
    <t>M</t>
  </si>
  <si>
    <t>L1</t>
  </si>
  <si>
    <t>M  7:00 AM - 3:00 PM</t>
  </si>
  <si>
    <t>MPLS-TX</t>
  </si>
  <si>
    <t>CSR</t>
  </si>
  <si>
    <t>T6 NE Name Change</t>
  </si>
  <si>
    <t>CISCO</t>
  </si>
  <si>
    <t>SA</t>
  </si>
  <si>
    <t>E</t>
  </si>
  <si>
    <t>E  3:00 PM - 10:00 PM</t>
  </si>
  <si>
    <t>T6</t>
  </si>
  <si>
    <t>T6 Node Deletion</t>
  </si>
  <si>
    <t>HUAWEI</t>
  </si>
  <si>
    <t>N  10:00 PM - 7:00 AM</t>
  </si>
  <si>
    <t>AGG</t>
  </si>
  <si>
    <t>T6 Node Extraction</t>
  </si>
  <si>
    <t>JUNIPER</t>
  </si>
  <si>
    <t>G  9:00 AM - 6:00 PM</t>
  </si>
  <si>
    <t>CORE</t>
  </si>
  <si>
    <t>T6 Ring Closure/Linear to Ring</t>
  </si>
  <si>
    <t>NOKIA</t>
  </si>
  <si>
    <t>ANY</t>
  </si>
  <si>
    <t>L5</t>
  </si>
  <si>
    <t>Any shift</t>
  </si>
  <si>
    <t>Node Deletion</t>
  </si>
  <si>
    <t>TEJAS</t>
  </si>
  <si>
    <t>Node Swapping</t>
  </si>
  <si>
    <t>ZTE</t>
  </si>
  <si>
    <t>CIENA</t>
  </si>
  <si>
    <t>ECI</t>
  </si>
  <si>
    <t>Sample values. Replace with the live is_active = 1 rows from your master tables before circulating - the procedure matches these strings exactly.</t>
  </si>
  <si>
    <t>Vertical</t>
  </si>
  <si>
    <t>Team Function</t>
  </si>
  <si>
    <t>Domain</t>
  </si>
  <si>
    <t>Sub Domain</t>
  </si>
  <si>
    <t>Team Path  (this is the value you type in column P)</t>
  </si>
  <si>
    <t>MPLS Core</t>
  </si>
  <si>
    <t>Rows 6 and 7 show the problem: 'MPLS Access' exists under two different Team Functions. A bare sub domain name cannot tell them apart, so column P of the Upload sheet takes the full Team Path from column E instead.</t>
  </si>
  <si>
    <t>Regenerate this sheet with:  SELECT vertical_name, function_name, domain_name, sub_domain_name, team_path FROM V_ORG_TEAM ORDER BY team_path;</t>
  </si>
  <si>
    <t>Filling and loading this workbook</t>
  </si>
  <si>
    <t>Filling the Upload sheet</t>
  </si>
  <si>
    <t>One activity = 6 rows</t>
  </si>
  <si>
    <t>The phase names in column L are already filled in for 25 blocks (ACT-001 to ACT-025). Do not change or reorder them.</t>
  </si>
  <si>
    <t>Blue columns B-K: type once</t>
  </si>
  <si>
    <t>Fill them on the CRQ Review row of the block only. The grey cells below stay empty - the procedure copies the values down.</t>
  </si>
  <si>
    <t>Green columns M-P: every row</t>
  </si>
  <si>
    <t>Only Time (Min) is mandatory. Shift and Min Level may be left blank.</t>
  </si>
  <si>
    <t>Grey cells in Q-S</t>
  </si>
  <si>
    <t>Not applicable. Days / Reservation / Rollback margins exist on the Execution row only.</t>
  </si>
  <si>
    <t>Assigned Team = a full path</t>
  </si>
  <si>
    <t>Column P takes the whole chain, e.g. 'System Engineering &gt; Change Management &gt; IP Access &gt; MPLS Access'. Pick it from the dropdown, which is fed by column E of the Teams sheet. A bare sub domain name is accepted too, but only when that name is unique across the whole org - otherwise the block is rejected rather than guessed at.</t>
  </si>
  <si>
    <t>Assigned Team blank</t>
  </si>
  <si>
    <t>Falls back to the activity's own team, built from columns B, C, D and E of the same block. That is what the New Plan screen defaults to.</t>
  </si>
  <si>
    <t>Yellow block ACT-001</t>
  </si>
  <si>
    <t>A worked example taken from the Ring Upgradation_10G to 25G screens. Delete rows 3-8 before uploading, or leave it if you want that activity created.</t>
  </si>
  <si>
    <t>Unused blocks</t>
  </si>
  <si>
    <t>Leave them empty. The procedure marks them Skipped rather than failing them.</t>
  </si>
  <si>
    <t>Column T (Row Check)</t>
  </si>
  <si>
    <t>A helper formula only. The loader ignores it.</t>
  </si>
  <si>
    <t>Loading it</t>
  </si>
  <si>
    <t>1. Save as CSV</t>
  </si>
  <si>
    <t>File &gt; Save As &gt; CSV UTF-8, from the Upload sheet. Rows 1 and 2 are banner and header.</t>
  </si>
  <si>
    <t>2. Load into staging</t>
  </si>
  <si>
    <t>Run the LOAD DATA statement in activity_plan_upload.sql, or use Workbench's Table Data Import Wizard into ACTIVITY_UPLOAD_STAGING.</t>
  </si>
  <si>
    <t>3. Process</t>
  </si>
  <si>
    <t>CALL sp_upload_activity_plans(@batch, @user);  Each activity is its own transaction, so one bad block does not stop the rest.</t>
  </si>
  <si>
    <t>4. Check the result</t>
  </si>
  <si>
    <t>Read row_status and message back from ACTIVITY_UPLOAD_STAGING, grouped by activity_ref. Successful blocks carry out_plan_id and out_activity_id.</t>
  </si>
  <si>
    <t>Before you circulate this file</t>
  </si>
  <si>
    <t>Replace the sample lists</t>
  </si>
  <si>
    <t>The Reference and Teams sheets hold sample values only. Repopulate them from ORG_VERTICAL, ORG_FUNCTION, ORG_DOMAIN and ORG_SUB_DOMAIN (is_active = 1).</t>
  </si>
  <si>
    <t>Confirm the phase master</t>
  </si>
  <si>
    <t>Column L values must match ACTIVITY_PHASE_MASTER_TBL.phase_name exactly.</t>
  </si>
  <si>
    <t>Shift is a code</t>
  </si>
  <si>
    <t>M / E / N / G / ANY, because the procedure parameter is VARCHAR(10) while the UI label ('N 10:00 PM - 7:00 AM') is 20 characters. The Reference sheet holds the mapping.</t>
  </si>
  <si>
    <t>Technology Solutions</t>
  </si>
  <si>
    <t>CCB</t>
  </si>
  <si>
    <t>Packet</t>
  </si>
  <si>
    <t>Packet ECI</t>
  </si>
  <si>
    <t>Technology Solutions &gt; CCB &gt; Packet &gt; Packet ECI</t>
  </si>
  <si>
    <t>CEN Access</t>
  </si>
  <si>
    <t>System Engineering &gt; Change Management &gt; IP Access &gt; CEN Access</t>
  </si>
  <si>
    <t>Embedded Support</t>
  </si>
  <si>
    <t>Site Shifting</t>
  </si>
  <si>
    <t>System Engineering &gt; Change Management &gt; Embedded Support &gt; Site Shifting</t>
  </si>
  <si>
    <t>Upgradation - Homes</t>
  </si>
  <si>
    <t>System Engineering &gt; Change Management &gt; Embedded Support &gt; Upgradation - Homes</t>
  </si>
  <si>
    <t>Upgradation - IP MPLS</t>
  </si>
  <si>
    <t>System Engineering &gt; Change Management &gt; Embedded Support &gt; Upgradation - IP MPLS</t>
  </si>
  <si>
    <t>Upgradation - Optics</t>
  </si>
  <si>
    <t>System Engineering &gt; Change Management &gt; Embedded Support &gt; Upgradation - Optics</t>
  </si>
  <si>
    <t>OLT Access</t>
  </si>
  <si>
    <t>IP Core</t>
  </si>
  <si>
    <t>BRAS Core</t>
  </si>
  <si>
    <t>CEN Core</t>
  </si>
  <si>
    <t>Optics</t>
  </si>
  <si>
    <t>Network Expansion</t>
  </si>
  <si>
    <t>NNI</t>
  </si>
  <si>
    <t>Project</t>
  </si>
  <si>
    <t>OTN/LCD</t>
  </si>
  <si>
    <t>System Engineering &gt; Change Management &gt; IP Core &gt; BRAS Core</t>
  </si>
  <si>
    <t>System Engineering &gt; Change Management &gt; IP Core &gt; CEN Core</t>
  </si>
  <si>
    <t>System Engineering &gt; Change Management &gt; IP Core &gt; MPLS Core</t>
  </si>
  <si>
    <t>System Engineering &gt; Change Management &gt; Optics &gt; Network Expansion</t>
  </si>
  <si>
    <t>System Engineering &gt; Change Management &gt; Optics &gt; NNI</t>
  </si>
  <si>
    <t>System Engineering &gt; Change Management &gt; Optics &gt; OTN/LCD</t>
  </si>
  <si>
    <t>System Engineering &gt; Change Management &gt; Optics &gt; Project</t>
  </si>
  <si>
    <t>Packet Change</t>
  </si>
  <si>
    <t>Packet NI</t>
  </si>
  <si>
    <t>System Engineering &gt; Change Management &gt; Packet &gt; Packet Change</t>
  </si>
  <si>
    <t>System Engineering &gt; Change Management &gt; Packet &gt; Packet NI</t>
  </si>
  <si>
    <t>Service Optimisation</t>
  </si>
  <si>
    <t>B2B/IWAN</t>
  </si>
  <si>
    <t>B2C/Telemedia/Mobility</t>
  </si>
  <si>
    <t>BRAS Transport</t>
  </si>
  <si>
    <t>EPT/NPT</t>
  </si>
  <si>
    <t>System Engineering &gt; Change Management &gt; Service Optimisation &gt; B2B/IWAN</t>
  </si>
  <si>
    <t>System Engineering &gt; Change Management &gt; Service Optimisation &gt; B2C/Telemedia/Mobility</t>
  </si>
  <si>
    <t>System Engineering &gt; Change Management &gt; Service Optimisation &gt; BRAS Transport</t>
  </si>
  <si>
    <t>System Engineering &gt; Change Management &gt; Service Optimisation &gt; EPT/NPT</t>
  </si>
  <si>
    <t>Packet Ciena</t>
  </si>
  <si>
    <t>Technology Solutions &gt; CCB &gt; IP Access &gt; CEN Access</t>
  </si>
  <si>
    <t>Technology Solutions &gt; CCB &gt; IP Access &gt; MPLS Access</t>
  </si>
  <si>
    <t>Technology Solutions &gt; CCB &gt; IP Access &gt; OLT Access</t>
  </si>
  <si>
    <t>Technology Solutions &gt; CCB &gt; IP Core &gt; BRAS Core</t>
  </si>
  <si>
    <t>Technology Solutions &gt; CCB &gt; IP Core &gt; CEN Core</t>
  </si>
  <si>
    <t>Technology Solutions &gt; CCB &gt; IP Core &gt; MPLS Core</t>
  </si>
  <si>
    <t>Technology Solutions &gt; CCB &gt; Optics &gt; Network Expansion</t>
  </si>
  <si>
    <t>Technology Solutions &gt; CCB &gt; Optics &gt; OTN/LCD</t>
  </si>
  <si>
    <t>Technology Solutions &gt; CCB &gt; Packet &gt; Packet Ciena</t>
  </si>
  <si>
    <t>Technology Solutions &gt; CCB &gt; Service Optimisation &gt; B2B/IWAN</t>
  </si>
  <si>
    <t>Technology Solutions &gt; CCB &gt; Service Optimisation &gt; B2C/Telemedia/Mobility</t>
  </si>
  <si>
    <t>Technology Solutions &gt; CCB &gt; Service Optimisation &gt; EPT/NPT</t>
  </si>
  <si>
    <t>Managed NOC</t>
  </si>
  <si>
    <t>Africa NOC (Chennai, Manesar)</t>
  </si>
  <si>
    <t>AWS NOC (Manesar)</t>
  </si>
  <si>
    <t>EIG NOAF (Chennai, Mumbai)</t>
  </si>
  <si>
    <t>GBI NSS (Chennai)</t>
  </si>
  <si>
    <t>Meta NOC (Chennai)</t>
  </si>
  <si>
    <t>Microsoft NOC (Manesar, Chennai)</t>
  </si>
  <si>
    <t>System Engineering &gt; Managed NOC &gt; Managed NOC &gt; Africa NOC (Chennai, Manesar)</t>
  </si>
  <si>
    <t>System Engineering &gt; Managed NOC &gt; Managed NOC &gt; AWS NOC (Manesar)</t>
  </si>
  <si>
    <t>System Engineering &gt; Managed NOC &gt; Managed NOC &gt; EIG NOAF (Chennai, Mumbai)</t>
  </si>
  <si>
    <t>System Engineering &gt; Managed NOC &gt; Managed NOC &gt; GBI NSS (Chennai)</t>
  </si>
  <si>
    <t>System Engineering &gt; Managed NOC &gt; Managed NOC &gt; Meta NOC (Chennai)</t>
  </si>
  <si>
    <t>System Engineering &gt; Managed NOC &gt; Managed NOC &gt; Microsoft NOC (Manesar, Chennai)</t>
  </si>
  <si>
    <t>ILD</t>
  </si>
  <si>
    <t>CLS</t>
  </si>
  <si>
    <t>ITMC</t>
  </si>
  <si>
    <t>CLS 2 Mumbai</t>
  </si>
  <si>
    <t>CLS Chennai</t>
  </si>
  <si>
    <t>CLS Mumbai</t>
  </si>
  <si>
    <t>ITMC Global POP</t>
  </si>
  <si>
    <t>ITMC NOC</t>
  </si>
  <si>
    <t>ITMC NS&amp;SA</t>
  </si>
  <si>
    <t>System Engineering &gt; ILD &gt; CLS &gt; CLS 2 Mumbai</t>
  </si>
  <si>
    <t>System Engineering &gt; ILD &gt; CLS &gt; CLS Chennai</t>
  </si>
  <si>
    <t>System Engineering &gt; ILD &gt; CLS &gt; CLS Mumbai</t>
  </si>
  <si>
    <t>System Engineering &gt; ILD &gt; ITMC &gt; ITMC Global POP</t>
  </si>
  <si>
    <t>System Engineering &gt; ILD &gt; ITMC &gt; ITMC NOC</t>
  </si>
  <si>
    <t>System Engineering &gt; ILD &gt; ITMC &gt; ITMC NS&amp;SA</t>
  </si>
  <si>
    <t>NaaS</t>
  </si>
  <si>
    <t>NOC AT RFS</t>
  </si>
  <si>
    <t>Service AT</t>
  </si>
  <si>
    <t>Service Delivery</t>
  </si>
  <si>
    <t>IP/Packet</t>
  </si>
  <si>
    <t>Optics/Homes</t>
  </si>
  <si>
    <t>B2B</t>
  </si>
  <si>
    <t>B2C</t>
  </si>
  <si>
    <t>IP</t>
  </si>
  <si>
    <t>Media</t>
  </si>
  <si>
    <t>Mobility</t>
  </si>
  <si>
    <t>Telemedia</t>
  </si>
  <si>
    <t>CEN</t>
  </si>
  <si>
    <t>ISP</t>
  </si>
  <si>
    <t>MPLS</t>
  </si>
  <si>
    <t>Tx</t>
  </si>
  <si>
    <t>Core</t>
  </si>
  <si>
    <t>Internal</t>
  </si>
  <si>
    <t>System Engineering &gt; NaaS &gt; NaaS &gt; NaaS</t>
  </si>
  <si>
    <t>System Engineering &gt; NOC AT RFS &gt; IP/Packet &gt; IP/Packet</t>
  </si>
  <si>
    <t>ystem Engineering &gt; NOC AT RFS &gt; Optics/Homes &gt; Optics/Homes</t>
  </si>
  <si>
    <t>System Engineering &gt; Service AT &gt; B2B &gt; IP</t>
  </si>
  <si>
    <t>System Engineering &gt; Service AT &gt; B2B &gt; Media</t>
  </si>
  <si>
    <t>System Engineering &gt; Service AT &gt; B2C &gt; Mobility</t>
  </si>
  <si>
    <t>System Engineering &gt; Service AT &gt; B2C &gt; Telemedia</t>
  </si>
  <si>
    <t>System Engineering &gt; Service Delivery &gt; B2B &gt; CEN</t>
  </si>
  <si>
    <t>System Engineering &gt; Service Delivery &gt; B2B &gt; ISP</t>
  </si>
  <si>
    <t>System Engineering &gt; Service Delivery &gt; B2B &gt; MPLS</t>
  </si>
  <si>
    <t>System Engineering &gt; Service Delivery &gt; B2B &gt; Tx</t>
  </si>
  <si>
    <t>System Engineering &gt; Service Delivery &gt; B2C &gt; Core</t>
  </si>
  <si>
    <t>System Engineering &gt; Service Delivery &gt; B2C &gt; Internal</t>
  </si>
  <si>
    <t>System Engineering &gt; Service Delivery &gt; B2C &gt; Mobility</t>
  </si>
  <si>
    <t>System Engineering &gt; Service Delivery &gt; B2C &gt; Telemedia</t>
  </si>
  <si>
    <t>Service Experience</t>
  </si>
  <si>
    <t>SOC</t>
  </si>
  <si>
    <t>Ciena EPT</t>
  </si>
  <si>
    <t>FTTH Mobility</t>
  </si>
  <si>
    <t>IP SOC</t>
  </si>
  <si>
    <t>Optics SOC</t>
  </si>
  <si>
    <t>Service Monitoring Desk</t>
  </si>
  <si>
    <t>Service Experience &gt; SOC &gt; Mobility &gt; Ciena EPT</t>
  </si>
  <si>
    <t>Service Experience &gt; SOC &gt; Mobility &gt; FTTH Mobility</t>
  </si>
  <si>
    <t>Service Experience &gt; SOC &gt; Mobility &gt; IP SOC</t>
  </si>
  <si>
    <t>Service Experience &gt; SOC &gt; Mobility &gt; Optics SOC</t>
  </si>
  <si>
    <t>Service Experience &gt; SOC &gt; Mobility &gt; Service Monitoring Desk</t>
  </si>
  <si>
    <t>Infra</t>
  </si>
  <si>
    <t>Incident Management</t>
  </si>
  <si>
    <t>Network Surveillance</t>
  </si>
  <si>
    <t>Change Authorization</t>
  </si>
  <si>
    <t>IRU</t>
  </si>
  <si>
    <t>Access/SDH &amp; Packet</t>
  </si>
  <si>
    <t>OTN/Core</t>
  </si>
  <si>
    <t>IP/Optics</t>
  </si>
  <si>
    <t>IRU/RFMS/OPGW</t>
  </si>
  <si>
    <t>ANG</t>
  </si>
  <si>
    <t>Degradation &amp; WAR Room</t>
  </si>
  <si>
    <t>NOM</t>
  </si>
  <si>
    <t>TNG</t>
  </si>
  <si>
    <t>S&amp;D</t>
  </si>
  <si>
    <t>SYNC &amp; DCN</t>
  </si>
  <si>
    <t>Infra &gt; Network Surveillance &gt; S&amp;D &gt; SYNC &amp; DCN</t>
  </si>
  <si>
    <t>Infra &gt; Network Surveillance &gt; Optics &gt; TNG</t>
  </si>
  <si>
    <t>Infra &gt; Incident Management &gt; IP &gt; CEN</t>
  </si>
  <si>
    <t>Infra &gt; Incident Management &gt; IP &gt; MPLS</t>
  </si>
  <si>
    <t>Infra &gt; Incident Management &gt; Optics &gt; Access/SDH &amp; Packet</t>
  </si>
  <si>
    <t>Infra &gt; Incident Management &gt; Optics &gt; OTN/Core</t>
  </si>
  <si>
    <t>Infra &gt; Network Surveillance &gt; Change Authorization &gt; IP/Optics</t>
  </si>
  <si>
    <t>Infra &gt; Network Surveillance &gt; IP &gt; CEN</t>
  </si>
  <si>
    <t>Infra &gt; Network Surveillance &gt; IP &gt; MPLS</t>
  </si>
  <si>
    <t>Infra &gt; Network Surveillance &gt; IRU &gt; IRU/RFMS/OPGW</t>
  </si>
  <si>
    <t>Infra &gt; Network Surveillance &gt; Optics &gt; ANG</t>
  </si>
  <si>
    <t>Infra &gt; Network Surveillance &gt; Optics &gt; Degradation &amp; WAR Room</t>
  </si>
  <si>
    <t>Infra &gt; Network Surveillance &gt; Optics &gt; NOM</t>
  </si>
  <si>
    <t>System Engineering &gt; Change Management &gt; IP Access &gt; OLT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</si>
</sst>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0"/>
      <color rgb="FF1F3864"/>
      <name val="Arial"/>
      <charset val="1"/>
    </font>
    <font>
      <b/>
      <sz val="10"/>
      <color rgb="FF595959"/>
      <name val="Arial"/>
      <charset val="1"/>
    </font>
    <font>
      <b/>
      <sz val="9"/>
      <color rgb="FF000000"/>
      <name val="Arial"/>
      <charset val="1"/>
    </font>
    <font>
      <i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name val="Arial"/>
      <charset val="1"/>
    </font>
    <font>
      <sz val="10"/>
      <name val="Arial"/>
      <family val="2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6DCE4"/>
        <bgColor rgb="FFD9E2F3"/>
      </patternFill>
    </fill>
    <fill>
      <patternFill patternType="solid">
        <fgColor rgb="FFD9E2F3"/>
        <bgColor rgb="FFD6DCE4"/>
      </patternFill>
    </fill>
    <fill>
      <patternFill patternType="solid">
        <fgColor rgb="FFE2EFDA"/>
        <bgColor rgb="FFE8E8E8"/>
      </patternFill>
    </fill>
    <fill>
      <patternFill patternType="solid">
        <fgColor rgb="FFF2F2F2"/>
        <bgColor rgb="FFF7F9FC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E2EFDA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E8E8E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EA9D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9" fillId="11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10" borderId="0" xfId="0" applyFont="1" applyFill="1" applyAlignment="1">
      <alignment vertical="center"/>
    </xf>
    <xf numFmtId="0" fontId="0" fillId="10" borderId="0" xfId="0" applyFill="1"/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7F9FC"/>
      <rgbColor rgb="FFF2F2F2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E8E8E8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"/>
  <sheetViews>
    <sheetView showGridLines="0" tabSelected="1" topLeftCell="K1" zoomScaleNormal="100" workbookViewId="0">
      <pane ySplit="2" topLeftCell="A3" activePane="bottomLeft" state="frozen"/>
      <selection pane="bottomLeft" activeCell="Q8" sqref="Q8:S8"/>
    </sheetView>
  </sheetViews>
  <sheetFormatPr defaultColWidth="8.77734375" defaultRowHeight="14.4" x14ac:dyDescent="0.3"/>
  <cols>
    <col min="1" max="1" width="13" customWidth="1"/>
    <col min="2" max="2" width="20" customWidth="1"/>
    <col min="3" max="3" width="19" customWidth="1"/>
    <col min="4" max="4" width="16" customWidth="1"/>
    <col min="5" max="5" width="18" customWidth="1"/>
    <col min="6" max="6" width="15" customWidth="1"/>
    <col min="7" max="7" width="9" customWidth="1"/>
    <col min="8" max="8" width="28" customWidth="1"/>
    <col min="9" max="9" width="30" customWidth="1"/>
    <col min="10" max="10" width="10" customWidth="1"/>
    <col min="11" max="11" width="28" customWidth="1"/>
    <col min="12" max="12" width="17" customWidth="1"/>
    <col min="13" max="13" width="9" customWidth="1"/>
    <col min="14" max="15" width="11" customWidth="1"/>
    <col min="16" max="16" width="52" customWidth="1"/>
    <col min="17" max="17" width="12" customWidth="1"/>
    <col min="18" max="19" width="14" customWidth="1"/>
    <col min="20" max="20" width="24" customWidth="1"/>
  </cols>
  <sheetData>
    <row r="1" spans="1:20" ht="19.5" customHeight="1" x14ac:dyDescent="0.3">
      <c r="A1" s="1" t="s">
        <v>0</v>
      </c>
      <c r="B1" s="47" t="s">
        <v>1</v>
      </c>
      <c r="C1" s="47"/>
      <c r="D1" s="47"/>
      <c r="E1" s="47"/>
      <c r="F1" s="47"/>
      <c r="G1" s="47"/>
      <c r="H1" s="47"/>
      <c r="I1" s="47"/>
      <c r="J1" s="47"/>
      <c r="K1" s="47"/>
      <c r="L1" s="48" t="s">
        <v>2</v>
      </c>
      <c r="M1" s="48"/>
      <c r="N1" s="48"/>
      <c r="O1" s="48"/>
      <c r="P1" s="48"/>
      <c r="Q1" s="48"/>
      <c r="R1" s="48"/>
      <c r="S1" s="48"/>
      <c r="T1" s="2" t="s">
        <v>3</v>
      </c>
    </row>
    <row r="2" spans="1:20" ht="30" customHeight="1" x14ac:dyDescent="0.3">
      <c r="A2" s="3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6" t="s">
        <v>23</v>
      </c>
    </row>
    <row r="3" spans="1:20" x14ac:dyDescent="0.3">
      <c r="A3" s="7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90</v>
      </c>
      <c r="I3" s="8" t="s">
        <v>32</v>
      </c>
      <c r="J3" s="8" t="s">
        <v>33</v>
      </c>
      <c r="K3" s="8" t="s">
        <v>90</v>
      </c>
      <c r="L3" s="9" t="s">
        <v>34</v>
      </c>
      <c r="M3" s="7" t="s">
        <v>35</v>
      </c>
      <c r="N3" s="7" t="s">
        <v>36</v>
      </c>
      <c r="O3" s="7">
        <v>60</v>
      </c>
      <c r="P3" s="8" t="s">
        <v>37</v>
      </c>
      <c r="Q3" s="10">
        <v>11</v>
      </c>
      <c r="R3" s="10">
        <v>11</v>
      </c>
      <c r="S3" s="10">
        <v>11</v>
      </c>
      <c r="T3" s="11" t="str">
        <f t="shared" ref="T3:T34" si="0">IF($A3="","",IF($L3="CRQ Review",IF(COUNTBLANK($B3:$K3)&gt;0,"Fill plan + activity",IF($O3="","Time (Min) missing","OK")),IF($O3="","Time (Min) missing","OK")))</f>
        <v>OK</v>
      </c>
    </row>
    <row r="4" spans="1:20" x14ac:dyDescent="0.3">
      <c r="A4" s="7" t="s">
        <v>24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9" t="s">
        <v>38</v>
      </c>
      <c r="M4" s="7" t="s">
        <v>35</v>
      </c>
      <c r="N4" s="7" t="s">
        <v>39</v>
      </c>
      <c r="O4" s="7">
        <v>120</v>
      </c>
      <c r="P4" s="8" t="s">
        <v>37</v>
      </c>
      <c r="Q4" s="10">
        <v>11</v>
      </c>
      <c r="R4" s="10">
        <v>11</v>
      </c>
      <c r="S4" s="10">
        <v>11</v>
      </c>
      <c r="T4" s="11" t="str">
        <f t="shared" si="0"/>
        <v>OK</v>
      </c>
    </row>
    <row r="5" spans="1:20" x14ac:dyDescent="0.3">
      <c r="A5" s="7" t="s">
        <v>24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9" t="s">
        <v>40</v>
      </c>
      <c r="M5" s="7" t="s">
        <v>41</v>
      </c>
      <c r="N5" s="7" t="s">
        <v>42</v>
      </c>
      <c r="O5" s="7">
        <v>30</v>
      </c>
      <c r="P5" s="8" t="s">
        <v>37</v>
      </c>
      <c r="Q5" s="10">
        <v>11</v>
      </c>
      <c r="R5" s="10">
        <v>11</v>
      </c>
      <c r="S5" s="10">
        <v>11</v>
      </c>
      <c r="T5" s="11" t="str">
        <f t="shared" si="0"/>
        <v>OK</v>
      </c>
    </row>
    <row r="6" spans="1:20" x14ac:dyDescent="0.3">
      <c r="A6" s="7" t="s">
        <v>24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9" t="s">
        <v>43</v>
      </c>
      <c r="M6" s="7" t="s">
        <v>41</v>
      </c>
      <c r="N6" s="7" t="s">
        <v>39</v>
      </c>
      <c r="O6" s="7">
        <v>90</v>
      </c>
      <c r="P6" s="8" t="s">
        <v>37</v>
      </c>
      <c r="Q6" s="10">
        <v>11</v>
      </c>
      <c r="R6" s="10">
        <v>11</v>
      </c>
      <c r="S6" s="10">
        <v>11</v>
      </c>
      <c r="T6" s="11" t="str">
        <f t="shared" si="0"/>
        <v>OK</v>
      </c>
    </row>
    <row r="7" spans="1:20" x14ac:dyDescent="0.3">
      <c r="A7" s="7" t="s">
        <v>24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9" t="s">
        <v>44</v>
      </c>
      <c r="M7" s="7" t="s">
        <v>41</v>
      </c>
      <c r="N7" s="7" t="s">
        <v>36</v>
      </c>
      <c r="O7" s="7">
        <v>45</v>
      </c>
      <c r="P7" s="8" t="s">
        <v>37</v>
      </c>
      <c r="Q7" s="10">
        <v>11</v>
      </c>
      <c r="R7" s="10">
        <v>11</v>
      </c>
      <c r="S7" s="10">
        <v>11</v>
      </c>
      <c r="T7" s="11" t="str">
        <f t="shared" si="0"/>
        <v>OK</v>
      </c>
    </row>
    <row r="8" spans="1:20" x14ac:dyDescent="0.3">
      <c r="A8" s="13" t="s">
        <v>24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45</v>
      </c>
      <c r="M8" s="13" t="s">
        <v>35</v>
      </c>
      <c r="N8" s="13" t="s">
        <v>42</v>
      </c>
      <c r="O8" s="13">
        <v>360</v>
      </c>
      <c r="P8" s="16" t="s">
        <v>37</v>
      </c>
      <c r="Q8" s="10">
        <v>11</v>
      </c>
      <c r="R8" s="10">
        <v>11</v>
      </c>
      <c r="S8" s="10">
        <v>11</v>
      </c>
      <c r="T8" s="17" t="str">
        <f t="shared" si="0"/>
        <v>OK</v>
      </c>
    </row>
    <row r="9" spans="1:20" x14ac:dyDescent="0.3">
      <c r="A9" s="18" t="s">
        <v>46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20" t="s">
        <v>34</v>
      </c>
      <c r="M9" s="18"/>
      <c r="N9" s="18"/>
      <c r="O9" s="18"/>
      <c r="P9" s="19"/>
      <c r="Q9" s="10"/>
      <c r="R9" s="10"/>
      <c r="S9" s="10"/>
      <c r="T9" s="11" t="str">
        <f t="shared" si="0"/>
        <v>Fill plan + activity</v>
      </c>
    </row>
    <row r="10" spans="1:20" x14ac:dyDescent="0.3">
      <c r="A10" s="18" t="s">
        <v>46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20" t="s">
        <v>38</v>
      </c>
      <c r="M10" s="18"/>
      <c r="N10" s="18"/>
      <c r="O10" s="18"/>
      <c r="P10" s="19"/>
      <c r="Q10" s="10"/>
      <c r="R10" s="10"/>
      <c r="S10" s="10"/>
      <c r="T10" s="11" t="str">
        <f t="shared" si="0"/>
        <v>Time (Min) missing</v>
      </c>
    </row>
    <row r="11" spans="1:20" x14ac:dyDescent="0.3">
      <c r="A11" s="18" t="s">
        <v>46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20" t="s">
        <v>40</v>
      </c>
      <c r="M11" s="18"/>
      <c r="N11" s="18"/>
      <c r="O11" s="18"/>
      <c r="P11" s="19"/>
      <c r="Q11" s="10"/>
      <c r="R11" s="10"/>
      <c r="S11" s="10"/>
      <c r="T11" s="11" t="str">
        <f t="shared" si="0"/>
        <v>Time (Min) missing</v>
      </c>
    </row>
    <row r="12" spans="1:20" x14ac:dyDescent="0.3">
      <c r="A12" s="18" t="s">
        <v>46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20" t="s">
        <v>43</v>
      </c>
      <c r="M12" s="18"/>
      <c r="N12" s="18"/>
      <c r="O12" s="18"/>
      <c r="P12" s="19"/>
      <c r="Q12" s="10"/>
      <c r="R12" s="10"/>
      <c r="S12" s="10"/>
      <c r="T12" s="11" t="str">
        <f t="shared" si="0"/>
        <v>Time (Min) missing</v>
      </c>
    </row>
    <row r="13" spans="1:20" x14ac:dyDescent="0.3">
      <c r="A13" s="18" t="s">
        <v>46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20" t="s">
        <v>44</v>
      </c>
      <c r="M13" s="18"/>
      <c r="N13" s="18"/>
      <c r="O13" s="18"/>
      <c r="P13" s="19"/>
      <c r="Q13" s="10"/>
      <c r="R13" s="10"/>
      <c r="S13" s="10"/>
      <c r="T13" s="11" t="str">
        <f t="shared" si="0"/>
        <v>Time (Min) missing</v>
      </c>
    </row>
    <row r="14" spans="1:20" x14ac:dyDescent="0.3">
      <c r="A14" s="21" t="s">
        <v>46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2" t="s">
        <v>45</v>
      </c>
      <c r="M14" s="21"/>
      <c r="N14" s="21"/>
      <c r="O14" s="21"/>
      <c r="P14" s="23"/>
      <c r="Q14" s="21"/>
      <c r="R14" s="21"/>
      <c r="S14" s="21"/>
      <c r="T14" s="17" t="str">
        <f t="shared" si="0"/>
        <v>Time (Min) missing</v>
      </c>
    </row>
    <row r="15" spans="1:20" x14ac:dyDescent="0.3">
      <c r="A15" s="24" t="s">
        <v>47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6" t="s">
        <v>34</v>
      </c>
      <c r="M15" s="24"/>
      <c r="N15" s="24"/>
      <c r="O15" s="24"/>
      <c r="P15" s="25"/>
      <c r="Q15" s="10"/>
      <c r="R15" s="10"/>
      <c r="S15" s="10"/>
      <c r="T15" s="11" t="str">
        <f t="shared" si="0"/>
        <v>Fill plan + activity</v>
      </c>
    </row>
    <row r="16" spans="1:20" x14ac:dyDescent="0.3">
      <c r="A16" s="24" t="s">
        <v>47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26" t="s">
        <v>38</v>
      </c>
      <c r="M16" s="24"/>
      <c r="N16" s="24"/>
      <c r="O16" s="24"/>
      <c r="P16" s="25"/>
      <c r="Q16" s="10"/>
      <c r="R16" s="10"/>
      <c r="S16" s="10"/>
      <c r="T16" s="11" t="str">
        <f t="shared" si="0"/>
        <v>Time (Min) missing</v>
      </c>
    </row>
    <row r="17" spans="1:20" x14ac:dyDescent="0.3">
      <c r="A17" s="24" t="s">
        <v>47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26" t="s">
        <v>40</v>
      </c>
      <c r="M17" s="24"/>
      <c r="N17" s="24"/>
      <c r="O17" s="24"/>
      <c r="P17" s="25"/>
      <c r="Q17" s="10"/>
      <c r="R17" s="10"/>
      <c r="S17" s="10"/>
      <c r="T17" s="11" t="str">
        <f t="shared" si="0"/>
        <v>Time (Min) missing</v>
      </c>
    </row>
    <row r="18" spans="1:20" x14ac:dyDescent="0.3">
      <c r="A18" s="24" t="s">
        <v>47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26" t="s">
        <v>43</v>
      </c>
      <c r="M18" s="24"/>
      <c r="N18" s="24"/>
      <c r="O18" s="24"/>
      <c r="P18" s="25"/>
      <c r="Q18" s="10"/>
      <c r="R18" s="10"/>
      <c r="S18" s="10"/>
      <c r="T18" s="11" t="str">
        <f t="shared" si="0"/>
        <v>Time (Min) missing</v>
      </c>
    </row>
    <row r="19" spans="1:20" x14ac:dyDescent="0.3">
      <c r="A19" s="24" t="s">
        <v>47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26" t="s">
        <v>44</v>
      </c>
      <c r="M19" s="24"/>
      <c r="N19" s="24"/>
      <c r="O19" s="24"/>
      <c r="P19" s="25"/>
      <c r="Q19" s="10"/>
      <c r="R19" s="10"/>
      <c r="S19" s="10"/>
      <c r="T19" s="11" t="str">
        <f t="shared" si="0"/>
        <v>Time (Min) missing</v>
      </c>
    </row>
    <row r="20" spans="1:20" x14ac:dyDescent="0.3">
      <c r="A20" s="27" t="s">
        <v>47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28" t="s">
        <v>45</v>
      </c>
      <c r="M20" s="27"/>
      <c r="N20" s="27"/>
      <c r="O20" s="27"/>
      <c r="P20" s="29"/>
      <c r="Q20" s="27"/>
      <c r="R20" s="27"/>
      <c r="S20" s="27"/>
      <c r="T20" s="17" t="str">
        <f t="shared" si="0"/>
        <v>Time (Min) missing</v>
      </c>
    </row>
    <row r="21" spans="1:20" x14ac:dyDescent="0.3">
      <c r="A21" s="18" t="s">
        <v>48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20" t="s">
        <v>34</v>
      </c>
      <c r="M21" s="18"/>
      <c r="N21" s="18"/>
      <c r="O21" s="18"/>
      <c r="P21" s="19"/>
      <c r="Q21" s="10"/>
      <c r="R21" s="10"/>
      <c r="S21" s="10"/>
      <c r="T21" s="11" t="str">
        <f t="shared" si="0"/>
        <v>Fill plan + activity</v>
      </c>
    </row>
    <row r="22" spans="1:20" x14ac:dyDescent="0.3">
      <c r="A22" s="18" t="s">
        <v>48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0" t="s">
        <v>38</v>
      </c>
      <c r="M22" s="18"/>
      <c r="N22" s="18"/>
      <c r="O22" s="18"/>
      <c r="P22" s="19"/>
      <c r="Q22" s="10"/>
      <c r="R22" s="10"/>
      <c r="S22" s="10"/>
      <c r="T22" s="11" t="str">
        <f t="shared" si="0"/>
        <v>Time (Min) missing</v>
      </c>
    </row>
    <row r="23" spans="1:20" x14ac:dyDescent="0.3">
      <c r="A23" s="18" t="s">
        <v>48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20" t="s">
        <v>40</v>
      </c>
      <c r="M23" s="18"/>
      <c r="N23" s="18"/>
      <c r="O23" s="18"/>
      <c r="P23" s="19"/>
      <c r="Q23" s="10"/>
      <c r="R23" s="10"/>
      <c r="S23" s="10"/>
      <c r="T23" s="11" t="str">
        <f t="shared" si="0"/>
        <v>Time (Min) missing</v>
      </c>
    </row>
    <row r="24" spans="1:20" x14ac:dyDescent="0.3">
      <c r="A24" s="18" t="s">
        <v>48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20" t="s">
        <v>43</v>
      </c>
      <c r="M24" s="18"/>
      <c r="N24" s="18"/>
      <c r="O24" s="18"/>
      <c r="P24" s="19"/>
      <c r="Q24" s="10"/>
      <c r="R24" s="10"/>
      <c r="S24" s="10"/>
      <c r="T24" s="11" t="str">
        <f t="shared" si="0"/>
        <v>Time (Min) missing</v>
      </c>
    </row>
    <row r="25" spans="1:20" x14ac:dyDescent="0.3">
      <c r="A25" s="18" t="s">
        <v>48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20" t="s">
        <v>44</v>
      </c>
      <c r="M25" s="18"/>
      <c r="N25" s="18"/>
      <c r="O25" s="18"/>
      <c r="P25" s="19"/>
      <c r="Q25" s="10"/>
      <c r="R25" s="10"/>
      <c r="S25" s="10"/>
      <c r="T25" s="11" t="str">
        <f t="shared" si="0"/>
        <v>Time (Min) missing</v>
      </c>
    </row>
    <row r="26" spans="1:20" x14ac:dyDescent="0.3">
      <c r="A26" s="21" t="s">
        <v>48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2" t="s">
        <v>45</v>
      </c>
      <c r="M26" s="21"/>
      <c r="N26" s="21"/>
      <c r="O26" s="21"/>
      <c r="P26" s="23"/>
      <c r="Q26" s="21"/>
      <c r="R26" s="21"/>
      <c r="S26" s="21"/>
      <c r="T26" s="17" t="str">
        <f t="shared" si="0"/>
        <v>Time (Min) missing</v>
      </c>
    </row>
    <row r="27" spans="1:20" x14ac:dyDescent="0.3">
      <c r="A27" s="24" t="s">
        <v>49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6" t="s">
        <v>34</v>
      </c>
      <c r="M27" s="24"/>
      <c r="N27" s="24"/>
      <c r="O27" s="24"/>
      <c r="P27" s="25"/>
      <c r="Q27" s="10"/>
      <c r="R27" s="10"/>
      <c r="S27" s="10"/>
      <c r="T27" s="11" t="str">
        <f t="shared" si="0"/>
        <v>Fill plan + activity</v>
      </c>
    </row>
    <row r="28" spans="1:20" x14ac:dyDescent="0.3">
      <c r="A28" s="24" t="s">
        <v>49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26" t="s">
        <v>38</v>
      </c>
      <c r="M28" s="24"/>
      <c r="N28" s="24"/>
      <c r="O28" s="24"/>
      <c r="P28" s="25"/>
      <c r="Q28" s="10"/>
      <c r="R28" s="10"/>
      <c r="S28" s="10"/>
      <c r="T28" s="11" t="str">
        <f t="shared" si="0"/>
        <v>Time (Min) missing</v>
      </c>
    </row>
    <row r="29" spans="1:20" x14ac:dyDescent="0.3">
      <c r="A29" s="24" t="s">
        <v>49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26" t="s">
        <v>40</v>
      </c>
      <c r="M29" s="24"/>
      <c r="N29" s="24"/>
      <c r="O29" s="24"/>
      <c r="P29" s="25"/>
      <c r="Q29" s="10"/>
      <c r="R29" s="10"/>
      <c r="S29" s="10"/>
      <c r="T29" s="11" t="str">
        <f t="shared" si="0"/>
        <v>Time (Min) missing</v>
      </c>
    </row>
    <row r="30" spans="1:20" x14ac:dyDescent="0.3">
      <c r="A30" s="24" t="s">
        <v>49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26" t="s">
        <v>43</v>
      </c>
      <c r="M30" s="24"/>
      <c r="N30" s="24"/>
      <c r="O30" s="24"/>
      <c r="P30" s="25"/>
      <c r="Q30" s="10"/>
      <c r="R30" s="10"/>
      <c r="S30" s="10"/>
      <c r="T30" s="11" t="str">
        <f t="shared" si="0"/>
        <v>Time (Min) missing</v>
      </c>
    </row>
    <row r="31" spans="1:20" x14ac:dyDescent="0.3">
      <c r="A31" s="24" t="s">
        <v>49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26" t="s">
        <v>44</v>
      </c>
      <c r="M31" s="24"/>
      <c r="N31" s="24"/>
      <c r="O31" s="24"/>
      <c r="P31" s="25"/>
      <c r="Q31" s="10"/>
      <c r="R31" s="10"/>
      <c r="S31" s="10"/>
      <c r="T31" s="11" t="str">
        <f t="shared" si="0"/>
        <v>Time (Min) missing</v>
      </c>
    </row>
    <row r="32" spans="1:20" x14ac:dyDescent="0.3">
      <c r="A32" s="27" t="s">
        <v>49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8" t="s">
        <v>45</v>
      </c>
      <c r="M32" s="27"/>
      <c r="N32" s="27"/>
      <c r="O32" s="27"/>
      <c r="P32" s="29"/>
      <c r="Q32" s="27"/>
      <c r="R32" s="27"/>
      <c r="S32" s="27"/>
      <c r="T32" s="17" t="str">
        <f t="shared" si="0"/>
        <v>Time (Min) missing</v>
      </c>
    </row>
    <row r="33" spans="1:20" x14ac:dyDescent="0.3">
      <c r="A33" s="18" t="s">
        <v>50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 t="s">
        <v>34</v>
      </c>
      <c r="M33" s="18"/>
      <c r="N33" s="18"/>
      <c r="O33" s="18"/>
      <c r="P33" s="19"/>
      <c r="Q33" s="10"/>
      <c r="R33" s="10"/>
      <c r="S33" s="10"/>
      <c r="T33" s="11" t="str">
        <f t="shared" si="0"/>
        <v>Fill plan + activity</v>
      </c>
    </row>
    <row r="34" spans="1:20" x14ac:dyDescent="0.3">
      <c r="A34" s="18" t="s">
        <v>50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20" t="s">
        <v>38</v>
      </c>
      <c r="M34" s="18"/>
      <c r="N34" s="18"/>
      <c r="O34" s="18"/>
      <c r="P34" s="19"/>
      <c r="Q34" s="10"/>
      <c r="R34" s="10"/>
      <c r="S34" s="10"/>
      <c r="T34" s="11" t="str">
        <f t="shared" si="0"/>
        <v>Time (Min) missing</v>
      </c>
    </row>
    <row r="35" spans="1:20" x14ac:dyDescent="0.3">
      <c r="A35" s="18" t="s">
        <v>50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20" t="s">
        <v>40</v>
      </c>
      <c r="M35" s="18"/>
      <c r="N35" s="18"/>
      <c r="O35" s="18"/>
      <c r="P35" s="19"/>
      <c r="Q35" s="10"/>
      <c r="R35" s="10"/>
      <c r="S35" s="10"/>
      <c r="T35" s="11" t="str">
        <f t="shared" ref="T35:T66" si="1">IF($A35="","",IF($L35="CRQ Review",IF(COUNTBLANK($B35:$K35)&gt;0,"Fill plan + activity",IF($O35="","Time (Min) missing","OK")),IF($O35="","Time (Min) missing","OK")))</f>
        <v>Time (Min) missing</v>
      </c>
    </row>
    <row r="36" spans="1:20" x14ac:dyDescent="0.3">
      <c r="A36" s="18" t="s">
        <v>50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20" t="s">
        <v>43</v>
      </c>
      <c r="M36" s="18"/>
      <c r="N36" s="18"/>
      <c r="O36" s="18"/>
      <c r="P36" s="19"/>
      <c r="Q36" s="10"/>
      <c r="R36" s="10"/>
      <c r="S36" s="10"/>
      <c r="T36" s="11" t="str">
        <f t="shared" si="1"/>
        <v>Time (Min) missing</v>
      </c>
    </row>
    <row r="37" spans="1:20" x14ac:dyDescent="0.3">
      <c r="A37" s="18" t="s">
        <v>50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20" t="s">
        <v>44</v>
      </c>
      <c r="M37" s="18"/>
      <c r="N37" s="18"/>
      <c r="O37" s="18"/>
      <c r="P37" s="19"/>
      <c r="Q37" s="10"/>
      <c r="R37" s="10"/>
      <c r="S37" s="10"/>
      <c r="T37" s="11" t="str">
        <f t="shared" si="1"/>
        <v>Time (Min) missing</v>
      </c>
    </row>
    <row r="38" spans="1:20" x14ac:dyDescent="0.3">
      <c r="A38" s="21" t="s">
        <v>50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2" t="s">
        <v>45</v>
      </c>
      <c r="M38" s="21"/>
      <c r="N38" s="21"/>
      <c r="O38" s="21"/>
      <c r="P38" s="23"/>
      <c r="Q38" s="21"/>
      <c r="R38" s="21"/>
      <c r="S38" s="21"/>
      <c r="T38" s="17" t="str">
        <f t="shared" si="1"/>
        <v>Time (Min) missing</v>
      </c>
    </row>
    <row r="39" spans="1:20" x14ac:dyDescent="0.3">
      <c r="A39" s="24" t="s">
        <v>51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6" t="s">
        <v>34</v>
      </c>
      <c r="M39" s="24"/>
      <c r="N39" s="24"/>
      <c r="O39" s="24"/>
      <c r="P39" s="25"/>
      <c r="Q39" s="10"/>
      <c r="R39" s="10"/>
      <c r="S39" s="10"/>
      <c r="T39" s="11" t="str">
        <f t="shared" si="1"/>
        <v>Fill plan + activity</v>
      </c>
    </row>
    <row r="40" spans="1:20" x14ac:dyDescent="0.3">
      <c r="A40" s="24" t="s">
        <v>51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26" t="s">
        <v>38</v>
      </c>
      <c r="M40" s="24"/>
      <c r="N40" s="24"/>
      <c r="O40" s="24"/>
      <c r="P40" s="25"/>
      <c r="Q40" s="10"/>
      <c r="R40" s="10"/>
      <c r="S40" s="10"/>
      <c r="T40" s="11" t="str">
        <f t="shared" si="1"/>
        <v>Time (Min) missing</v>
      </c>
    </row>
    <row r="41" spans="1:20" x14ac:dyDescent="0.3">
      <c r="A41" s="24" t="s">
        <v>51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26" t="s">
        <v>40</v>
      </c>
      <c r="M41" s="24"/>
      <c r="N41" s="24"/>
      <c r="O41" s="24"/>
      <c r="P41" s="25"/>
      <c r="Q41" s="10"/>
      <c r="R41" s="10"/>
      <c r="S41" s="10"/>
      <c r="T41" s="11" t="str">
        <f t="shared" si="1"/>
        <v>Time (Min) missing</v>
      </c>
    </row>
    <row r="42" spans="1:20" x14ac:dyDescent="0.3">
      <c r="A42" s="24" t="s">
        <v>51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26" t="s">
        <v>43</v>
      </c>
      <c r="M42" s="24"/>
      <c r="N42" s="24"/>
      <c r="O42" s="24"/>
      <c r="P42" s="25"/>
      <c r="Q42" s="10"/>
      <c r="R42" s="10"/>
      <c r="S42" s="10"/>
      <c r="T42" s="11" t="str">
        <f t="shared" si="1"/>
        <v>Time (Min) missing</v>
      </c>
    </row>
    <row r="43" spans="1:20" x14ac:dyDescent="0.3">
      <c r="A43" s="24" t="s">
        <v>51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26" t="s">
        <v>44</v>
      </c>
      <c r="M43" s="24"/>
      <c r="N43" s="24"/>
      <c r="O43" s="24"/>
      <c r="P43" s="25"/>
      <c r="Q43" s="10"/>
      <c r="R43" s="10"/>
      <c r="S43" s="10"/>
      <c r="T43" s="11" t="str">
        <f t="shared" si="1"/>
        <v>Time (Min) missing</v>
      </c>
    </row>
    <row r="44" spans="1:20" x14ac:dyDescent="0.3">
      <c r="A44" s="27" t="s">
        <v>51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8" t="s">
        <v>45</v>
      </c>
      <c r="M44" s="27"/>
      <c r="N44" s="27"/>
      <c r="O44" s="27"/>
      <c r="P44" s="29"/>
      <c r="Q44" s="27"/>
      <c r="R44" s="27"/>
      <c r="S44" s="27"/>
      <c r="T44" s="17" t="str">
        <f t="shared" si="1"/>
        <v>Time (Min) missing</v>
      </c>
    </row>
    <row r="45" spans="1:20" x14ac:dyDescent="0.3">
      <c r="A45" s="18" t="s">
        <v>52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 t="s">
        <v>34</v>
      </c>
      <c r="M45" s="18"/>
      <c r="N45" s="18"/>
      <c r="O45" s="18"/>
      <c r="P45" s="19"/>
      <c r="Q45" s="10"/>
      <c r="R45" s="10"/>
      <c r="S45" s="10"/>
      <c r="T45" s="11" t="str">
        <f t="shared" si="1"/>
        <v>Fill plan + activity</v>
      </c>
    </row>
    <row r="46" spans="1:20" x14ac:dyDescent="0.3">
      <c r="A46" s="18" t="s">
        <v>52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20" t="s">
        <v>38</v>
      </c>
      <c r="M46" s="18"/>
      <c r="N46" s="18"/>
      <c r="O46" s="18"/>
      <c r="P46" s="19"/>
      <c r="Q46" s="10"/>
      <c r="R46" s="10"/>
      <c r="S46" s="10"/>
      <c r="T46" s="11" t="str">
        <f t="shared" si="1"/>
        <v>Time (Min) missing</v>
      </c>
    </row>
    <row r="47" spans="1:20" x14ac:dyDescent="0.3">
      <c r="A47" s="18" t="s">
        <v>52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20" t="s">
        <v>40</v>
      </c>
      <c r="M47" s="18"/>
      <c r="N47" s="18"/>
      <c r="O47" s="18"/>
      <c r="P47" s="19"/>
      <c r="Q47" s="10"/>
      <c r="R47" s="10"/>
      <c r="S47" s="10"/>
      <c r="T47" s="11" t="str">
        <f t="shared" si="1"/>
        <v>Time (Min) missing</v>
      </c>
    </row>
    <row r="48" spans="1:20" x14ac:dyDescent="0.3">
      <c r="A48" s="18" t="s">
        <v>52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20" t="s">
        <v>43</v>
      </c>
      <c r="M48" s="18"/>
      <c r="N48" s="18"/>
      <c r="O48" s="18"/>
      <c r="P48" s="19"/>
      <c r="Q48" s="10"/>
      <c r="R48" s="10"/>
      <c r="S48" s="10"/>
      <c r="T48" s="11" t="str">
        <f t="shared" si="1"/>
        <v>Time (Min) missing</v>
      </c>
    </row>
    <row r="49" spans="1:20" x14ac:dyDescent="0.3">
      <c r="A49" s="18" t="s">
        <v>52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20" t="s">
        <v>44</v>
      </c>
      <c r="M49" s="18"/>
      <c r="N49" s="18"/>
      <c r="O49" s="18"/>
      <c r="P49" s="19"/>
      <c r="Q49" s="10"/>
      <c r="R49" s="10"/>
      <c r="S49" s="10"/>
      <c r="T49" s="11" t="str">
        <f t="shared" si="1"/>
        <v>Time (Min) missing</v>
      </c>
    </row>
    <row r="50" spans="1:20" x14ac:dyDescent="0.3">
      <c r="A50" s="21" t="s">
        <v>52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2" t="s">
        <v>45</v>
      </c>
      <c r="M50" s="21"/>
      <c r="N50" s="21"/>
      <c r="O50" s="21"/>
      <c r="P50" s="23"/>
      <c r="Q50" s="21"/>
      <c r="R50" s="21"/>
      <c r="S50" s="21"/>
      <c r="T50" s="17" t="str">
        <f t="shared" si="1"/>
        <v>Time (Min) missing</v>
      </c>
    </row>
    <row r="51" spans="1:20" x14ac:dyDescent="0.3">
      <c r="A51" s="24" t="s">
        <v>53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6" t="s">
        <v>34</v>
      </c>
      <c r="M51" s="24"/>
      <c r="N51" s="24"/>
      <c r="O51" s="24"/>
      <c r="P51" s="25"/>
      <c r="Q51" s="10"/>
      <c r="R51" s="10"/>
      <c r="S51" s="10"/>
      <c r="T51" s="11" t="str">
        <f t="shared" si="1"/>
        <v>Fill plan + activity</v>
      </c>
    </row>
    <row r="52" spans="1:20" x14ac:dyDescent="0.3">
      <c r="A52" s="24" t="s">
        <v>53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26" t="s">
        <v>38</v>
      </c>
      <c r="M52" s="24"/>
      <c r="N52" s="24"/>
      <c r="O52" s="24"/>
      <c r="P52" s="25"/>
      <c r="Q52" s="10"/>
      <c r="R52" s="10"/>
      <c r="S52" s="10"/>
      <c r="T52" s="11" t="str">
        <f t="shared" si="1"/>
        <v>Time (Min) missing</v>
      </c>
    </row>
    <row r="53" spans="1:20" x14ac:dyDescent="0.3">
      <c r="A53" s="24" t="s">
        <v>53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26" t="s">
        <v>40</v>
      </c>
      <c r="M53" s="24"/>
      <c r="N53" s="24"/>
      <c r="O53" s="24"/>
      <c r="P53" s="25"/>
      <c r="Q53" s="10"/>
      <c r="R53" s="10"/>
      <c r="S53" s="10"/>
      <c r="T53" s="11" t="str">
        <f t="shared" si="1"/>
        <v>Time (Min) missing</v>
      </c>
    </row>
    <row r="54" spans="1:20" x14ac:dyDescent="0.3">
      <c r="A54" s="24" t="s">
        <v>53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26" t="s">
        <v>43</v>
      </c>
      <c r="M54" s="24"/>
      <c r="N54" s="24"/>
      <c r="O54" s="24"/>
      <c r="P54" s="25"/>
      <c r="Q54" s="10"/>
      <c r="R54" s="10"/>
      <c r="S54" s="10"/>
      <c r="T54" s="11" t="str">
        <f t="shared" si="1"/>
        <v>Time (Min) missing</v>
      </c>
    </row>
    <row r="55" spans="1:20" x14ac:dyDescent="0.3">
      <c r="A55" s="24" t="s">
        <v>53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26" t="s">
        <v>44</v>
      </c>
      <c r="M55" s="24"/>
      <c r="N55" s="24"/>
      <c r="O55" s="24"/>
      <c r="P55" s="25"/>
      <c r="Q55" s="10"/>
      <c r="R55" s="10"/>
      <c r="S55" s="10"/>
      <c r="T55" s="11" t="str">
        <f t="shared" si="1"/>
        <v>Time (Min) missing</v>
      </c>
    </row>
    <row r="56" spans="1:20" x14ac:dyDescent="0.3">
      <c r="A56" s="27" t="s">
        <v>53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8" t="s">
        <v>45</v>
      </c>
      <c r="M56" s="27"/>
      <c r="N56" s="27"/>
      <c r="O56" s="27"/>
      <c r="P56" s="29"/>
      <c r="Q56" s="27"/>
      <c r="R56" s="27"/>
      <c r="S56" s="27"/>
      <c r="T56" s="17" t="str">
        <f t="shared" si="1"/>
        <v>Time (Min) missing</v>
      </c>
    </row>
    <row r="57" spans="1:20" x14ac:dyDescent="0.3">
      <c r="A57" s="18" t="s">
        <v>54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 t="s">
        <v>34</v>
      </c>
      <c r="M57" s="18"/>
      <c r="N57" s="18"/>
      <c r="O57" s="18"/>
      <c r="P57" s="19"/>
      <c r="Q57" s="10"/>
      <c r="R57" s="10"/>
      <c r="S57" s="10"/>
      <c r="T57" s="11" t="str">
        <f t="shared" si="1"/>
        <v>Fill plan + activity</v>
      </c>
    </row>
    <row r="58" spans="1:20" x14ac:dyDescent="0.3">
      <c r="A58" s="18" t="s">
        <v>54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20" t="s">
        <v>38</v>
      </c>
      <c r="M58" s="18"/>
      <c r="N58" s="18"/>
      <c r="O58" s="18"/>
      <c r="P58" s="19"/>
      <c r="Q58" s="10"/>
      <c r="R58" s="10"/>
      <c r="S58" s="10"/>
      <c r="T58" s="11" t="str">
        <f t="shared" si="1"/>
        <v>Time (Min) missing</v>
      </c>
    </row>
    <row r="59" spans="1:20" x14ac:dyDescent="0.3">
      <c r="A59" s="18" t="s">
        <v>54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20" t="s">
        <v>40</v>
      </c>
      <c r="M59" s="18"/>
      <c r="N59" s="18"/>
      <c r="O59" s="18"/>
      <c r="P59" s="19"/>
      <c r="Q59" s="10"/>
      <c r="R59" s="10"/>
      <c r="S59" s="10"/>
      <c r="T59" s="11" t="str">
        <f t="shared" si="1"/>
        <v>Time (Min) missing</v>
      </c>
    </row>
    <row r="60" spans="1:20" x14ac:dyDescent="0.3">
      <c r="A60" s="18" t="s">
        <v>54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20" t="s">
        <v>43</v>
      </c>
      <c r="M60" s="18"/>
      <c r="N60" s="18"/>
      <c r="O60" s="18"/>
      <c r="P60" s="19"/>
      <c r="Q60" s="10"/>
      <c r="R60" s="10"/>
      <c r="S60" s="10"/>
      <c r="T60" s="11" t="str">
        <f t="shared" si="1"/>
        <v>Time (Min) missing</v>
      </c>
    </row>
    <row r="61" spans="1:20" x14ac:dyDescent="0.3">
      <c r="A61" s="18" t="s">
        <v>54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20" t="s">
        <v>44</v>
      </c>
      <c r="M61" s="18"/>
      <c r="N61" s="18"/>
      <c r="O61" s="18"/>
      <c r="P61" s="19"/>
      <c r="Q61" s="10"/>
      <c r="R61" s="10"/>
      <c r="S61" s="10"/>
      <c r="T61" s="11" t="str">
        <f t="shared" si="1"/>
        <v>Time (Min) missing</v>
      </c>
    </row>
    <row r="62" spans="1:20" x14ac:dyDescent="0.3">
      <c r="A62" s="21" t="s">
        <v>54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2" t="s">
        <v>45</v>
      </c>
      <c r="M62" s="21"/>
      <c r="N62" s="21"/>
      <c r="O62" s="21"/>
      <c r="P62" s="23"/>
      <c r="Q62" s="21"/>
      <c r="R62" s="21"/>
      <c r="S62" s="21"/>
      <c r="T62" s="17" t="str">
        <f t="shared" si="1"/>
        <v>Time (Min) missing</v>
      </c>
    </row>
    <row r="63" spans="1:20" x14ac:dyDescent="0.3">
      <c r="A63" s="24" t="s">
        <v>55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6" t="s">
        <v>34</v>
      </c>
      <c r="M63" s="24"/>
      <c r="N63" s="24"/>
      <c r="O63" s="24"/>
      <c r="P63" s="25"/>
      <c r="Q63" s="10"/>
      <c r="R63" s="10"/>
      <c r="S63" s="10"/>
      <c r="T63" s="11" t="str">
        <f t="shared" si="1"/>
        <v>Fill plan + activity</v>
      </c>
    </row>
    <row r="64" spans="1:20" x14ac:dyDescent="0.3">
      <c r="A64" s="24" t="s">
        <v>55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26" t="s">
        <v>38</v>
      </c>
      <c r="M64" s="24"/>
      <c r="N64" s="24"/>
      <c r="O64" s="24"/>
      <c r="P64" s="25"/>
      <c r="Q64" s="10"/>
      <c r="R64" s="10"/>
      <c r="S64" s="10"/>
      <c r="T64" s="11" t="str">
        <f t="shared" si="1"/>
        <v>Time (Min) missing</v>
      </c>
    </row>
    <row r="65" spans="1:20" x14ac:dyDescent="0.3">
      <c r="A65" s="24" t="s">
        <v>55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26" t="s">
        <v>40</v>
      </c>
      <c r="M65" s="24"/>
      <c r="N65" s="24"/>
      <c r="O65" s="24"/>
      <c r="P65" s="25"/>
      <c r="Q65" s="10"/>
      <c r="R65" s="10"/>
      <c r="S65" s="10"/>
      <c r="T65" s="11" t="str">
        <f t="shared" si="1"/>
        <v>Time (Min) missing</v>
      </c>
    </row>
    <row r="66" spans="1:20" x14ac:dyDescent="0.3">
      <c r="A66" s="24" t="s">
        <v>55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26" t="s">
        <v>43</v>
      </c>
      <c r="M66" s="24"/>
      <c r="N66" s="24"/>
      <c r="O66" s="24"/>
      <c r="P66" s="25"/>
      <c r="Q66" s="10"/>
      <c r="R66" s="10"/>
      <c r="S66" s="10"/>
      <c r="T66" s="11" t="str">
        <f t="shared" si="1"/>
        <v>Time (Min) missing</v>
      </c>
    </row>
    <row r="67" spans="1:20" x14ac:dyDescent="0.3">
      <c r="A67" s="24" t="s">
        <v>55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26" t="s">
        <v>44</v>
      </c>
      <c r="M67" s="24"/>
      <c r="N67" s="24"/>
      <c r="O67" s="24"/>
      <c r="P67" s="25"/>
      <c r="Q67" s="10"/>
      <c r="R67" s="10"/>
      <c r="S67" s="10"/>
      <c r="T67" s="11" t="str">
        <f t="shared" ref="T67:T98" si="2">IF($A67="","",IF($L67="CRQ Review",IF(COUNTBLANK($B67:$K67)&gt;0,"Fill plan + activity",IF($O67="","Time (Min) missing","OK")),IF($O67="","Time (Min) missing","OK")))</f>
        <v>Time (Min) missing</v>
      </c>
    </row>
    <row r="68" spans="1:20" x14ac:dyDescent="0.3">
      <c r="A68" s="27" t="s">
        <v>55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8" t="s">
        <v>45</v>
      </c>
      <c r="M68" s="27"/>
      <c r="N68" s="27"/>
      <c r="O68" s="27"/>
      <c r="P68" s="29"/>
      <c r="Q68" s="27"/>
      <c r="R68" s="27"/>
      <c r="S68" s="27"/>
      <c r="T68" s="17" t="str">
        <f t="shared" si="2"/>
        <v>Time (Min) missing</v>
      </c>
    </row>
    <row r="69" spans="1:20" x14ac:dyDescent="0.3">
      <c r="A69" s="18" t="s">
        <v>56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 t="s">
        <v>34</v>
      </c>
      <c r="M69" s="18"/>
      <c r="N69" s="18"/>
      <c r="O69" s="18"/>
      <c r="P69" s="19"/>
      <c r="Q69" s="10"/>
      <c r="R69" s="10"/>
      <c r="S69" s="10"/>
      <c r="T69" s="11" t="str">
        <f t="shared" si="2"/>
        <v>Fill plan + activity</v>
      </c>
    </row>
    <row r="70" spans="1:20" x14ac:dyDescent="0.3">
      <c r="A70" s="18" t="s">
        <v>56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20" t="s">
        <v>38</v>
      </c>
      <c r="M70" s="18"/>
      <c r="N70" s="18"/>
      <c r="O70" s="18"/>
      <c r="P70" s="19"/>
      <c r="Q70" s="10"/>
      <c r="R70" s="10"/>
      <c r="S70" s="10"/>
      <c r="T70" s="11" t="str">
        <f t="shared" si="2"/>
        <v>Time (Min) missing</v>
      </c>
    </row>
    <row r="71" spans="1:20" x14ac:dyDescent="0.3">
      <c r="A71" s="18" t="s">
        <v>56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20" t="s">
        <v>40</v>
      </c>
      <c r="M71" s="18"/>
      <c r="N71" s="18"/>
      <c r="O71" s="18"/>
      <c r="P71" s="19"/>
      <c r="Q71" s="10"/>
      <c r="R71" s="10"/>
      <c r="S71" s="10"/>
      <c r="T71" s="11" t="str">
        <f t="shared" si="2"/>
        <v>Time (Min) missing</v>
      </c>
    </row>
    <row r="72" spans="1:20" x14ac:dyDescent="0.3">
      <c r="A72" s="18" t="s">
        <v>56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20" t="s">
        <v>43</v>
      </c>
      <c r="M72" s="18"/>
      <c r="N72" s="18"/>
      <c r="O72" s="18"/>
      <c r="P72" s="19"/>
      <c r="Q72" s="10"/>
      <c r="R72" s="10"/>
      <c r="S72" s="10"/>
      <c r="T72" s="11" t="str">
        <f t="shared" si="2"/>
        <v>Time (Min) missing</v>
      </c>
    </row>
    <row r="73" spans="1:20" x14ac:dyDescent="0.3">
      <c r="A73" s="18" t="s">
        <v>56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20" t="s">
        <v>44</v>
      </c>
      <c r="M73" s="18"/>
      <c r="N73" s="18"/>
      <c r="O73" s="18"/>
      <c r="P73" s="19"/>
      <c r="Q73" s="10"/>
      <c r="R73" s="10"/>
      <c r="S73" s="10"/>
      <c r="T73" s="11" t="str">
        <f t="shared" si="2"/>
        <v>Time (Min) missing</v>
      </c>
    </row>
    <row r="74" spans="1:20" x14ac:dyDescent="0.3">
      <c r="A74" s="21" t="s">
        <v>56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2" t="s">
        <v>45</v>
      </c>
      <c r="M74" s="21"/>
      <c r="N74" s="21"/>
      <c r="O74" s="21"/>
      <c r="P74" s="23"/>
      <c r="Q74" s="21"/>
      <c r="R74" s="21"/>
      <c r="S74" s="21"/>
      <c r="T74" s="17" t="str">
        <f t="shared" si="2"/>
        <v>Time (Min) missing</v>
      </c>
    </row>
    <row r="75" spans="1:20" x14ac:dyDescent="0.3">
      <c r="A75" s="24" t="s">
        <v>57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6" t="s">
        <v>34</v>
      </c>
      <c r="M75" s="24"/>
      <c r="N75" s="24"/>
      <c r="O75" s="24"/>
      <c r="P75" s="25"/>
      <c r="Q75" s="10"/>
      <c r="R75" s="10"/>
      <c r="S75" s="10"/>
      <c r="T75" s="11" t="str">
        <f t="shared" si="2"/>
        <v>Fill plan + activity</v>
      </c>
    </row>
    <row r="76" spans="1:20" x14ac:dyDescent="0.3">
      <c r="A76" s="24" t="s">
        <v>57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26" t="s">
        <v>38</v>
      </c>
      <c r="M76" s="24"/>
      <c r="N76" s="24"/>
      <c r="O76" s="24"/>
      <c r="P76" s="25"/>
      <c r="Q76" s="10"/>
      <c r="R76" s="10"/>
      <c r="S76" s="10"/>
      <c r="T76" s="11" t="str">
        <f t="shared" si="2"/>
        <v>Time (Min) missing</v>
      </c>
    </row>
    <row r="77" spans="1:20" x14ac:dyDescent="0.3">
      <c r="A77" s="24" t="s">
        <v>57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26" t="s">
        <v>40</v>
      </c>
      <c r="M77" s="24"/>
      <c r="N77" s="24"/>
      <c r="O77" s="24"/>
      <c r="P77" s="25"/>
      <c r="Q77" s="10"/>
      <c r="R77" s="10"/>
      <c r="S77" s="10"/>
      <c r="T77" s="11" t="str">
        <f t="shared" si="2"/>
        <v>Time (Min) missing</v>
      </c>
    </row>
    <row r="78" spans="1:20" x14ac:dyDescent="0.3">
      <c r="A78" s="24" t="s">
        <v>57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26" t="s">
        <v>43</v>
      </c>
      <c r="M78" s="24"/>
      <c r="N78" s="24"/>
      <c r="O78" s="24"/>
      <c r="P78" s="25"/>
      <c r="Q78" s="10"/>
      <c r="R78" s="10"/>
      <c r="S78" s="10"/>
      <c r="T78" s="11" t="str">
        <f t="shared" si="2"/>
        <v>Time (Min) missing</v>
      </c>
    </row>
    <row r="79" spans="1:20" x14ac:dyDescent="0.3">
      <c r="A79" s="24" t="s">
        <v>57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26" t="s">
        <v>44</v>
      </c>
      <c r="M79" s="24"/>
      <c r="N79" s="24"/>
      <c r="O79" s="24"/>
      <c r="P79" s="25"/>
      <c r="Q79" s="10"/>
      <c r="R79" s="10"/>
      <c r="S79" s="10"/>
      <c r="T79" s="11" t="str">
        <f t="shared" si="2"/>
        <v>Time (Min) missing</v>
      </c>
    </row>
    <row r="80" spans="1:20" x14ac:dyDescent="0.3">
      <c r="A80" s="27" t="s">
        <v>57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8" t="s">
        <v>45</v>
      </c>
      <c r="M80" s="27"/>
      <c r="N80" s="27"/>
      <c r="O80" s="27"/>
      <c r="P80" s="29"/>
      <c r="Q80" s="27"/>
      <c r="R80" s="27"/>
      <c r="S80" s="27"/>
      <c r="T80" s="17" t="str">
        <f t="shared" si="2"/>
        <v>Time (Min) missing</v>
      </c>
    </row>
    <row r="81" spans="1:20" x14ac:dyDescent="0.3">
      <c r="A81" s="18" t="s">
        <v>58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 t="s">
        <v>34</v>
      </c>
      <c r="M81" s="18"/>
      <c r="N81" s="18"/>
      <c r="O81" s="18"/>
      <c r="P81" s="19"/>
      <c r="Q81" s="10"/>
      <c r="R81" s="10"/>
      <c r="S81" s="10"/>
      <c r="T81" s="11" t="str">
        <f t="shared" si="2"/>
        <v>Fill plan + activity</v>
      </c>
    </row>
    <row r="82" spans="1:20" x14ac:dyDescent="0.3">
      <c r="A82" s="18" t="s">
        <v>58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20" t="s">
        <v>38</v>
      </c>
      <c r="M82" s="18"/>
      <c r="N82" s="18"/>
      <c r="O82" s="18"/>
      <c r="P82" s="19"/>
      <c r="Q82" s="10"/>
      <c r="R82" s="10"/>
      <c r="S82" s="10"/>
      <c r="T82" s="11" t="str">
        <f t="shared" si="2"/>
        <v>Time (Min) missing</v>
      </c>
    </row>
    <row r="83" spans="1:20" x14ac:dyDescent="0.3">
      <c r="A83" s="18" t="s">
        <v>58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20" t="s">
        <v>40</v>
      </c>
      <c r="M83" s="18"/>
      <c r="N83" s="18"/>
      <c r="O83" s="18"/>
      <c r="P83" s="19"/>
      <c r="Q83" s="10"/>
      <c r="R83" s="10"/>
      <c r="S83" s="10"/>
      <c r="T83" s="11" t="str">
        <f t="shared" si="2"/>
        <v>Time (Min) missing</v>
      </c>
    </row>
    <row r="84" spans="1:20" x14ac:dyDescent="0.3">
      <c r="A84" s="18" t="s">
        <v>58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20" t="s">
        <v>43</v>
      </c>
      <c r="M84" s="18"/>
      <c r="N84" s="18"/>
      <c r="O84" s="18"/>
      <c r="P84" s="19"/>
      <c r="Q84" s="10"/>
      <c r="R84" s="10"/>
      <c r="S84" s="10"/>
      <c r="T84" s="11" t="str">
        <f t="shared" si="2"/>
        <v>Time (Min) missing</v>
      </c>
    </row>
    <row r="85" spans="1:20" x14ac:dyDescent="0.3">
      <c r="A85" s="18" t="s">
        <v>58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20" t="s">
        <v>44</v>
      </c>
      <c r="M85" s="18"/>
      <c r="N85" s="18"/>
      <c r="O85" s="18"/>
      <c r="P85" s="19"/>
      <c r="Q85" s="10"/>
      <c r="R85" s="10"/>
      <c r="S85" s="10"/>
      <c r="T85" s="11" t="str">
        <f t="shared" si="2"/>
        <v>Time (Min) missing</v>
      </c>
    </row>
    <row r="86" spans="1:20" x14ac:dyDescent="0.3">
      <c r="A86" s="21" t="s">
        <v>58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2" t="s">
        <v>45</v>
      </c>
      <c r="M86" s="21"/>
      <c r="N86" s="21"/>
      <c r="O86" s="21"/>
      <c r="P86" s="23"/>
      <c r="Q86" s="21"/>
      <c r="R86" s="21"/>
      <c r="S86" s="21"/>
      <c r="T86" s="17" t="str">
        <f t="shared" si="2"/>
        <v>Time (Min) missing</v>
      </c>
    </row>
    <row r="87" spans="1:20" x14ac:dyDescent="0.3">
      <c r="A87" s="24" t="s">
        <v>59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6" t="s">
        <v>34</v>
      </c>
      <c r="M87" s="24"/>
      <c r="N87" s="24"/>
      <c r="O87" s="24"/>
      <c r="P87" s="25"/>
      <c r="Q87" s="10"/>
      <c r="R87" s="10"/>
      <c r="S87" s="10"/>
      <c r="T87" s="11" t="str">
        <f t="shared" si="2"/>
        <v>Fill plan + activity</v>
      </c>
    </row>
    <row r="88" spans="1:20" x14ac:dyDescent="0.3">
      <c r="A88" s="24" t="s">
        <v>59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26" t="s">
        <v>38</v>
      </c>
      <c r="M88" s="24"/>
      <c r="N88" s="24"/>
      <c r="O88" s="24"/>
      <c r="P88" s="25"/>
      <c r="Q88" s="10"/>
      <c r="R88" s="10"/>
      <c r="S88" s="10"/>
      <c r="T88" s="11" t="str">
        <f t="shared" si="2"/>
        <v>Time (Min) missing</v>
      </c>
    </row>
    <row r="89" spans="1:20" x14ac:dyDescent="0.3">
      <c r="A89" s="24" t="s">
        <v>59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26" t="s">
        <v>40</v>
      </c>
      <c r="M89" s="24"/>
      <c r="N89" s="24"/>
      <c r="O89" s="24"/>
      <c r="P89" s="25"/>
      <c r="Q89" s="10"/>
      <c r="R89" s="10"/>
      <c r="S89" s="10"/>
      <c r="T89" s="11" t="str">
        <f t="shared" si="2"/>
        <v>Time (Min) missing</v>
      </c>
    </row>
    <row r="90" spans="1:20" x14ac:dyDescent="0.3">
      <c r="A90" s="24" t="s">
        <v>59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26" t="s">
        <v>43</v>
      </c>
      <c r="M90" s="24"/>
      <c r="N90" s="24"/>
      <c r="O90" s="24"/>
      <c r="P90" s="25"/>
      <c r="Q90" s="10"/>
      <c r="R90" s="10"/>
      <c r="S90" s="10"/>
      <c r="T90" s="11" t="str">
        <f t="shared" si="2"/>
        <v>Time (Min) missing</v>
      </c>
    </row>
    <row r="91" spans="1:20" x14ac:dyDescent="0.3">
      <c r="A91" s="24" t="s">
        <v>59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26" t="s">
        <v>44</v>
      </c>
      <c r="M91" s="24"/>
      <c r="N91" s="24"/>
      <c r="O91" s="24"/>
      <c r="P91" s="25"/>
      <c r="Q91" s="10"/>
      <c r="R91" s="10"/>
      <c r="S91" s="10"/>
      <c r="T91" s="11" t="str">
        <f t="shared" si="2"/>
        <v>Time (Min) missing</v>
      </c>
    </row>
    <row r="92" spans="1:20" x14ac:dyDescent="0.3">
      <c r="A92" s="27" t="s">
        <v>59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8" t="s">
        <v>45</v>
      </c>
      <c r="M92" s="27"/>
      <c r="N92" s="27"/>
      <c r="O92" s="27"/>
      <c r="P92" s="29"/>
      <c r="Q92" s="27"/>
      <c r="R92" s="27"/>
      <c r="S92" s="27"/>
      <c r="T92" s="17" t="str">
        <f t="shared" si="2"/>
        <v>Time (Min) missing</v>
      </c>
    </row>
    <row r="93" spans="1:20" x14ac:dyDescent="0.3">
      <c r="A93" s="18" t="s">
        <v>60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 t="s">
        <v>34</v>
      </c>
      <c r="M93" s="18"/>
      <c r="N93" s="18"/>
      <c r="O93" s="18"/>
      <c r="P93" s="19"/>
      <c r="Q93" s="10"/>
      <c r="R93" s="10"/>
      <c r="S93" s="10"/>
      <c r="T93" s="11" t="str">
        <f t="shared" si="2"/>
        <v>Fill plan + activity</v>
      </c>
    </row>
    <row r="94" spans="1:20" x14ac:dyDescent="0.3">
      <c r="A94" s="18" t="s">
        <v>60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20" t="s">
        <v>38</v>
      </c>
      <c r="M94" s="18"/>
      <c r="N94" s="18"/>
      <c r="O94" s="18"/>
      <c r="P94" s="19"/>
      <c r="Q94" s="10"/>
      <c r="R94" s="10"/>
      <c r="S94" s="10"/>
      <c r="T94" s="11" t="str">
        <f t="shared" si="2"/>
        <v>Time (Min) missing</v>
      </c>
    </row>
    <row r="95" spans="1:20" x14ac:dyDescent="0.3">
      <c r="A95" s="18" t="s">
        <v>60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20" t="s">
        <v>40</v>
      </c>
      <c r="M95" s="18"/>
      <c r="N95" s="18"/>
      <c r="O95" s="18"/>
      <c r="P95" s="19"/>
      <c r="Q95" s="10"/>
      <c r="R95" s="10"/>
      <c r="S95" s="10"/>
      <c r="T95" s="11" t="str">
        <f t="shared" si="2"/>
        <v>Time (Min) missing</v>
      </c>
    </row>
    <row r="96" spans="1:20" x14ac:dyDescent="0.3">
      <c r="A96" s="18" t="s">
        <v>60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20" t="s">
        <v>43</v>
      </c>
      <c r="M96" s="18"/>
      <c r="N96" s="18"/>
      <c r="O96" s="18"/>
      <c r="P96" s="19"/>
      <c r="Q96" s="10"/>
      <c r="R96" s="10"/>
      <c r="S96" s="10"/>
      <c r="T96" s="11" t="str">
        <f t="shared" si="2"/>
        <v>Time (Min) missing</v>
      </c>
    </row>
    <row r="97" spans="1:20" x14ac:dyDescent="0.3">
      <c r="A97" s="18" t="s">
        <v>60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20" t="s">
        <v>44</v>
      </c>
      <c r="M97" s="18"/>
      <c r="N97" s="18"/>
      <c r="O97" s="18"/>
      <c r="P97" s="19"/>
      <c r="Q97" s="10"/>
      <c r="R97" s="10"/>
      <c r="S97" s="10"/>
      <c r="T97" s="11" t="str">
        <f t="shared" si="2"/>
        <v>Time (Min) missing</v>
      </c>
    </row>
    <row r="98" spans="1:20" x14ac:dyDescent="0.3">
      <c r="A98" s="21" t="s">
        <v>60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2" t="s">
        <v>45</v>
      </c>
      <c r="M98" s="21"/>
      <c r="N98" s="21"/>
      <c r="O98" s="21"/>
      <c r="P98" s="23"/>
      <c r="Q98" s="21"/>
      <c r="R98" s="21"/>
      <c r="S98" s="21"/>
      <c r="T98" s="17" t="str">
        <f t="shared" si="2"/>
        <v>Time (Min) missing</v>
      </c>
    </row>
    <row r="99" spans="1:20" x14ac:dyDescent="0.3">
      <c r="A99" s="24" t="s">
        <v>61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6" t="s">
        <v>34</v>
      </c>
      <c r="M99" s="24"/>
      <c r="N99" s="24"/>
      <c r="O99" s="24"/>
      <c r="P99" s="25"/>
      <c r="Q99" s="10"/>
      <c r="R99" s="10"/>
      <c r="S99" s="10"/>
      <c r="T99" s="11" t="str">
        <f t="shared" ref="T99:T130" si="3">IF($A99="","",IF($L99="CRQ Review",IF(COUNTBLANK($B99:$K99)&gt;0,"Fill plan + activity",IF($O99="","Time (Min) missing","OK")),IF($O99="","Time (Min) missing","OK")))</f>
        <v>Fill plan + activity</v>
      </c>
    </row>
    <row r="100" spans="1:20" x14ac:dyDescent="0.3">
      <c r="A100" s="24" t="s">
        <v>61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26" t="s">
        <v>38</v>
      </c>
      <c r="M100" s="24"/>
      <c r="N100" s="24"/>
      <c r="O100" s="24"/>
      <c r="P100" s="25"/>
      <c r="Q100" s="10"/>
      <c r="R100" s="10"/>
      <c r="S100" s="10"/>
      <c r="T100" s="11" t="str">
        <f t="shared" si="3"/>
        <v>Time (Min) missing</v>
      </c>
    </row>
    <row r="101" spans="1:20" x14ac:dyDescent="0.3">
      <c r="A101" s="24" t="s">
        <v>61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26" t="s">
        <v>40</v>
      </c>
      <c r="M101" s="24"/>
      <c r="N101" s="24"/>
      <c r="O101" s="24"/>
      <c r="P101" s="25"/>
      <c r="Q101" s="10"/>
      <c r="R101" s="10"/>
      <c r="S101" s="10"/>
      <c r="T101" s="11" t="str">
        <f t="shared" si="3"/>
        <v>Time (Min) missing</v>
      </c>
    </row>
    <row r="102" spans="1:20" x14ac:dyDescent="0.3">
      <c r="A102" s="24" t="s">
        <v>61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26" t="s">
        <v>43</v>
      </c>
      <c r="M102" s="24"/>
      <c r="N102" s="24"/>
      <c r="O102" s="24"/>
      <c r="P102" s="25"/>
      <c r="Q102" s="10"/>
      <c r="R102" s="10"/>
      <c r="S102" s="10"/>
      <c r="T102" s="11" t="str">
        <f t="shared" si="3"/>
        <v>Time (Min) missing</v>
      </c>
    </row>
    <row r="103" spans="1:20" x14ac:dyDescent="0.3">
      <c r="A103" s="24" t="s">
        <v>61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26" t="s">
        <v>44</v>
      </c>
      <c r="M103" s="24"/>
      <c r="N103" s="24"/>
      <c r="O103" s="24"/>
      <c r="P103" s="25"/>
      <c r="Q103" s="10"/>
      <c r="R103" s="10"/>
      <c r="S103" s="10"/>
      <c r="T103" s="11" t="str">
        <f t="shared" si="3"/>
        <v>Time (Min) missing</v>
      </c>
    </row>
    <row r="104" spans="1:20" x14ac:dyDescent="0.3">
      <c r="A104" s="27" t="s">
        <v>61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8" t="s">
        <v>45</v>
      </c>
      <c r="M104" s="27"/>
      <c r="N104" s="27"/>
      <c r="O104" s="27"/>
      <c r="P104" s="29"/>
      <c r="Q104" s="27"/>
      <c r="R104" s="27"/>
      <c r="S104" s="27"/>
      <c r="T104" s="17" t="str">
        <f t="shared" si="3"/>
        <v>Time (Min) missing</v>
      </c>
    </row>
    <row r="105" spans="1:20" x14ac:dyDescent="0.3">
      <c r="A105" s="18" t="s">
        <v>62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 t="s">
        <v>34</v>
      </c>
      <c r="M105" s="18"/>
      <c r="N105" s="18"/>
      <c r="O105" s="18"/>
      <c r="P105" s="19"/>
      <c r="Q105" s="10"/>
      <c r="R105" s="10"/>
      <c r="S105" s="10"/>
      <c r="T105" s="11" t="str">
        <f t="shared" si="3"/>
        <v>Fill plan + activity</v>
      </c>
    </row>
    <row r="106" spans="1:20" x14ac:dyDescent="0.3">
      <c r="A106" s="18" t="s">
        <v>62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20" t="s">
        <v>38</v>
      </c>
      <c r="M106" s="18"/>
      <c r="N106" s="18"/>
      <c r="O106" s="18"/>
      <c r="P106" s="19"/>
      <c r="Q106" s="10"/>
      <c r="R106" s="10"/>
      <c r="S106" s="10"/>
      <c r="T106" s="11" t="str">
        <f t="shared" si="3"/>
        <v>Time (Min) missing</v>
      </c>
    </row>
    <row r="107" spans="1:20" x14ac:dyDescent="0.3">
      <c r="A107" s="18" t="s">
        <v>62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20" t="s">
        <v>40</v>
      </c>
      <c r="M107" s="18"/>
      <c r="N107" s="18"/>
      <c r="O107" s="18"/>
      <c r="P107" s="19"/>
      <c r="Q107" s="10"/>
      <c r="R107" s="10"/>
      <c r="S107" s="10"/>
      <c r="T107" s="11" t="str">
        <f t="shared" si="3"/>
        <v>Time (Min) missing</v>
      </c>
    </row>
    <row r="108" spans="1:20" x14ac:dyDescent="0.3">
      <c r="A108" s="18" t="s">
        <v>62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20" t="s">
        <v>43</v>
      </c>
      <c r="M108" s="18"/>
      <c r="N108" s="18"/>
      <c r="O108" s="18"/>
      <c r="P108" s="19"/>
      <c r="Q108" s="10"/>
      <c r="R108" s="10"/>
      <c r="S108" s="10"/>
      <c r="T108" s="11" t="str">
        <f t="shared" si="3"/>
        <v>Time (Min) missing</v>
      </c>
    </row>
    <row r="109" spans="1:20" x14ac:dyDescent="0.3">
      <c r="A109" s="18" t="s">
        <v>62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20" t="s">
        <v>44</v>
      </c>
      <c r="M109" s="18"/>
      <c r="N109" s="18"/>
      <c r="O109" s="18"/>
      <c r="P109" s="19"/>
      <c r="Q109" s="10"/>
      <c r="R109" s="10"/>
      <c r="S109" s="10"/>
      <c r="T109" s="11" t="str">
        <f t="shared" si="3"/>
        <v>Time (Min) missing</v>
      </c>
    </row>
    <row r="110" spans="1:20" x14ac:dyDescent="0.3">
      <c r="A110" s="21" t="s">
        <v>62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2" t="s">
        <v>45</v>
      </c>
      <c r="M110" s="21"/>
      <c r="N110" s="21"/>
      <c r="O110" s="21"/>
      <c r="P110" s="23"/>
      <c r="Q110" s="21"/>
      <c r="R110" s="21"/>
      <c r="S110" s="21"/>
      <c r="T110" s="17" t="str">
        <f t="shared" si="3"/>
        <v>Time (Min) missing</v>
      </c>
    </row>
    <row r="111" spans="1:20" x14ac:dyDescent="0.3">
      <c r="A111" s="24" t="s">
        <v>63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6" t="s">
        <v>34</v>
      </c>
      <c r="M111" s="24"/>
      <c r="N111" s="24"/>
      <c r="O111" s="24"/>
      <c r="P111" s="25"/>
      <c r="Q111" s="10"/>
      <c r="R111" s="10"/>
      <c r="S111" s="10"/>
      <c r="T111" s="11" t="str">
        <f t="shared" si="3"/>
        <v>Fill plan + activity</v>
      </c>
    </row>
    <row r="112" spans="1:20" x14ac:dyDescent="0.3">
      <c r="A112" s="24" t="s">
        <v>63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26" t="s">
        <v>38</v>
      </c>
      <c r="M112" s="24"/>
      <c r="N112" s="24"/>
      <c r="O112" s="24"/>
      <c r="P112" s="25"/>
      <c r="Q112" s="10"/>
      <c r="R112" s="10"/>
      <c r="S112" s="10"/>
      <c r="T112" s="11" t="str">
        <f t="shared" si="3"/>
        <v>Time (Min) missing</v>
      </c>
    </row>
    <row r="113" spans="1:20" x14ac:dyDescent="0.3">
      <c r="A113" s="24" t="s">
        <v>63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26" t="s">
        <v>40</v>
      </c>
      <c r="M113" s="24"/>
      <c r="N113" s="24"/>
      <c r="O113" s="24"/>
      <c r="P113" s="25"/>
      <c r="Q113" s="10"/>
      <c r="R113" s="10"/>
      <c r="S113" s="10"/>
      <c r="T113" s="11" t="str">
        <f t="shared" si="3"/>
        <v>Time (Min) missing</v>
      </c>
    </row>
    <row r="114" spans="1:20" x14ac:dyDescent="0.3">
      <c r="A114" s="24" t="s">
        <v>63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26" t="s">
        <v>43</v>
      </c>
      <c r="M114" s="24"/>
      <c r="N114" s="24"/>
      <c r="O114" s="24"/>
      <c r="P114" s="25"/>
      <c r="Q114" s="10"/>
      <c r="R114" s="10"/>
      <c r="S114" s="10"/>
      <c r="T114" s="11" t="str">
        <f t="shared" si="3"/>
        <v>Time (Min) missing</v>
      </c>
    </row>
    <row r="115" spans="1:20" x14ac:dyDescent="0.3">
      <c r="A115" s="24" t="s">
        <v>63</v>
      </c>
      <c r="B115" s="12" t="s">
        <v>25</v>
      </c>
      <c r="C115" s="12" t="s">
        <v>26</v>
      </c>
      <c r="D115" s="12"/>
      <c r="E115" s="12"/>
      <c r="F115" s="12"/>
      <c r="G115" s="12"/>
      <c r="H115" s="12"/>
      <c r="I115" s="12"/>
      <c r="J115" s="12"/>
      <c r="K115" s="12"/>
      <c r="L115" s="26" t="s">
        <v>44</v>
      </c>
      <c r="M115" s="24"/>
      <c r="N115" s="24"/>
      <c r="O115" s="24"/>
      <c r="P115" s="25"/>
      <c r="Q115" s="10"/>
      <c r="R115" s="10"/>
      <c r="S115" s="10"/>
      <c r="T115" s="11" t="str">
        <f t="shared" si="3"/>
        <v>Time (Min) missing</v>
      </c>
    </row>
    <row r="116" spans="1:20" x14ac:dyDescent="0.3">
      <c r="A116" s="27" t="s">
        <v>63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8" t="s">
        <v>45</v>
      </c>
      <c r="M116" s="27"/>
      <c r="N116" s="27"/>
      <c r="O116" s="27"/>
      <c r="P116" s="29"/>
      <c r="Q116" s="27"/>
      <c r="R116" s="27"/>
      <c r="S116" s="27"/>
      <c r="T116" s="17" t="str">
        <f t="shared" si="3"/>
        <v>Time (Min) missing</v>
      </c>
    </row>
    <row r="117" spans="1:20" x14ac:dyDescent="0.3">
      <c r="A117" s="18" t="s">
        <v>64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 t="s">
        <v>34</v>
      </c>
      <c r="M117" s="18"/>
      <c r="N117" s="18"/>
      <c r="O117" s="18"/>
      <c r="P117" s="19"/>
      <c r="Q117" s="10"/>
      <c r="R117" s="10"/>
      <c r="S117" s="10"/>
      <c r="T117" s="11" t="str">
        <f t="shared" si="3"/>
        <v>Fill plan + activity</v>
      </c>
    </row>
    <row r="118" spans="1:20" x14ac:dyDescent="0.3">
      <c r="A118" s="18" t="s">
        <v>64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20" t="s">
        <v>38</v>
      </c>
      <c r="M118" s="18"/>
      <c r="N118" s="18"/>
      <c r="O118" s="18"/>
      <c r="P118" s="19"/>
      <c r="Q118" s="10"/>
      <c r="R118" s="10"/>
      <c r="S118" s="10"/>
      <c r="T118" s="11" t="str">
        <f t="shared" si="3"/>
        <v>Time (Min) missing</v>
      </c>
    </row>
    <row r="119" spans="1:20" x14ac:dyDescent="0.3">
      <c r="A119" s="18" t="s">
        <v>64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20" t="s">
        <v>40</v>
      </c>
      <c r="M119" s="18"/>
      <c r="N119" s="18"/>
      <c r="O119" s="18"/>
      <c r="P119" s="19"/>
      <c r="Q119" s="10"/>
      <c r="R119" s="10"/>
      <c r="S119" s="10"/>
      <c r="T119" s="11" t="str">
        <f t="shared" si="3"/>
        <v>Time (Min) missing</v>
      </c>
    </row>
    <row r="120" spans="1:20" x14ac:dyDescent="0.3">
      <c r="A120" s="18" t="s">
        <v>64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20" t="s">
        <v>43</v>
      </c>
      <c r="M120" s="18"/>
      <c r="N120" s="18"/>
      <c r="O120" s="18"/>
      <c r="P120" s="19"/>
      <c r="Q120" s="10"/>
      <c r="R120" s="10"/>
      <c r="S120" s="10"/>
      <c r="T120" s="11" t="str">
        <f t="shared" si="3"/>
        <v>Time (Min) missing</v>
      </c>
    </row>
    <row r="121" spans="1:20" x14ac:dyDescent="0.3">
      <c r="A121" s="18" t="s">
        <v>64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20" t="s">
        <v>44</v>
      </c>
      <c r="M121" s="18"/>
      <c r="N121" s="18"/>
      <c r="O121" s="18"/>
      <c r="P121" s="19"/>
      <c r="Q121" s="10"/>
      <c r="R121" s="10"/>
      <c r="S121" s="10"/>
      <c r="T121" s="11" t="str">
        <f t="shared" si="3"/>
        <v>Time (Min) missing</v>
      </c>
    </row>
    <row r="122" spans="1:20" x14ac:dyDescent="0.3">
      <c r="A122" s="21" t="s">
        <v>64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22" t="s">
        <v>45</v>
      </c>
      <c r="M122" s="21"/>
      <c r="N122" s="21"/>
      <c r="O122" s="21"/>
      <c r="P122" s="23"/>
      <c r="Q122" s="21"/>
      <c r="R122" s="21"/>
      <c r="S122" s="21"/>
      <c r="T122" s="17" t="str">
        <f t="shared" si="3"/>
        <v>Time (Min) missing</v>
      </c>
    </row>
    <row r="123" spans="1:20" x14ac:dyDescent="0.3">
      <c r="A123" s="24" t="s">
        <v>65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6" t="s">
        <v>34</v>
      </c>
      <c r="M123" s="24"/>
      <c r="N123" s="24"/>
      <c r="O123" s="24"/>
      <c r="P123" s="25"/>
      <c r="Q123" s="10"/>
      <c r="R123" s="10"/>
      <c r="S123" s="10"/>
      <c r="T123" s="11" t="str">
        <f t="shared" si="3"/>
        <v>Fill plan + activity</v>
      </c>
    </row>
    <row r="124" spans="1:20" x14ac:dyDescent="0.3">
      <c r="A124" s="24" t="s">
        <v>65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26" t="s">
        <v>38</v>
      </c>
      <c r="M124" s="24"/>
      <c r="N124" s="24"/>
      <c r="O124" s="24"/>
      <c r="P124" s="25"/>
      <c r="Q124" s="10"/>
      <c r="R124" s="10"/>
      <c r="S124" s="10"/>
      <c r="T124" s="11" t="str">
        <f t="shared" si="3"/>
        <v>Time (Min) missing</v>
      </c>
    </row>
    <row r="125" spans="1:20" x14ac:dyDescent="0.3">
      <c r="A125" s="24" t="s">
        <v>65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26" t="s">
        <v>40</v>
      </c>
      <c r="M125" s="24"/>
      <c r="N125" s="24"/>
      <c r="O125" s="24"/>
      <c r="P125" s="25"/>
      <c r="Q125" s="10"/>
      <c r="R125" s="10"/>
      <c r="S125" s="10"/>
      <c r="T125" s="11" t="str">
        <f t="shared" si="3"/>
        <v>Time (Min) missing</v>
      </c>
    </row>
    <row r="126" spans="1:20" x14ac:dyDescent="0.3">
      <c r="A126" s="24" t="s">
        <v>65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26" t="s">
        <v>43</v>
      </c>
      <c r="M126" s="24"/>
      <c r="N126" s="24"/>
      <c r="O126" s="24"/>
      <c r="P126" s="25"/>
      <c r="Q126" s="10"/>
      <c r="R126" s="10"/>
      <c r="S126" s="10"/>
      <c r="T126" s="11" t="str">
        <f t="shared" si="3"/>
        <v>Time (Min) missing</v>
      </c>
    </row>
    <row r="127" spans="1:20" x14ac:dyDescent="0.3">
      <c r="A127" s="24" t="s">
        <v>65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26" t="s">
        <v>44</v>
      </c>
      <c r="M127" s="24"/>
      <c r="N127" s="24"/>
      <c r="O127" s="24"/>
      <c r="P127" s="25"/>
      <c r="Q127" s="10"/>
      <c r="R127" s="10"/>
      <c r="S127" s="10"/>
      <c r="T127" s="11" t="str">
        <f t="shared" si="3"/>
        <v>Time (Min) missing</v>
      </c>
    </row>
    <row r="128" spans="1:20" x14ac:dyDescent="0.3">
      <c r="A128" s="27" t="s">
        <v>65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28" t="s">
        <v>45</v>
      </c>
      <c r="M128" s="27"/>
      <c r="N128" s="27"/>
      <c r="O128" s="27"/>
      <c r="P128" s="29"/>
      <c r="Q128" s="27"/>
      <c r="R128" s="27"/>
      <c r="S128" s="27"/>
      <c r="T128" s="17" t="str">
        <f t="shared" si="3"/>
        <v>Time (Min) missing</v>
      </c>
    </row>
    <row r="129" spans="1:20" x14ac:dyDescent="0.3">
      <c r="A129" s="18" t="s">
        <v>66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 t="s">
        <v>34</v>
      </c>
      <c r="M129" s="18"/>
      <c r="N129" s="18"/>
      <c r="O129" s="18"/>
      <c r="P129" s="19"/>
      <c r="Q129" s="10"/>
      <c r="R129" s="10"/>
      <c r="S129" s="10"/>
      <c r="T129" s="11" t="str">
        <f t="shared" si="3"/>
        <v>Fill plan + activity</v>
      </c>
    </row>
    <row r="130" spans="1:20" x14ac:dyDescent="0.3">
      <c r="A130" s="18" t="s">
        <v>66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20" t="s">
        <v>38</v>
      </c>
      <c r="M130" s="18"/>
      <c r="N130" s="18"/>
      <c r="O130" s="18"/>
      <c r="P130" s="19"/>
      <c r="Q130" s="10"/>
      <c r="R130" s="10"/>
      <c r="S130" s="10"/>
      <c r="T130" s="11" t="str">
        <f t="shared" si="3"/>
        <v>Time (Min) missing</v>
      </c>
    </row>
    <row r="131" spans="1:20" x14ac:dyDescent="0.3">
      <c r="A131" s="18" t="s">
        <v>66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20" t="s">
        <v>40</v>
      </c>
      <c r="M131" s="18"/>
      <c r="N131" s="18"/>
      <c r="O131" s="18"/>
      <c r="P131" s="19"/>
      <c r="Q131" s="10"/>
      <c r="R131" s="10"/>
      <c r="S131" s="10"/>
      <c r="T131" s="11" t="str">
        <f t="shared" ref="T131:T152" si="4">IF($A131="","",IF($L131="CRQ Review",IF(COUNTBLANK($B131:$K131)&gt;0,"Fill plan + activity",IF($O131="","Time (Min) missing","OK")),IF($O131="","Time (Min) missing","OK")))</f>
        <v>Time (Min) missing</v>
      </c>
    </row>
    <row r="132" spans="1:20" x14ac:dyDescent="0.3">
      <c r="A132" s="18" t="s">
        <v>66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20" t="s">
        <v>43</v>
      </c>
      <c r="M132" s="18"/>
      <c r="N132" s="18"/>
      <c r="O132" s="18"/>
      <c r="P132" s="19"/>
      <c r="Q132" s="10"/>
      <c r="R132" s="10"/>
      <c r="S132" s="10"/>
      <c r="T132" s="11" t="str">
        <f t="shared" si="4"/>
        <v>Time (Min) missing</v>
      </c>
    </row>
    <row r="133" spans="1:20" x14ac:dyDescent="0.3">
      <c r="A133" s="18" t="s">
        <v>66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20" t="s">
        <v>44</v>
      </c>
      <c r="M133" s="18"/>
      <c r="N133" s="18"/>
      <c r="O133" s="18"/>
      <c r="P133" s="19"/>
      <c r="Q133" s="10"/>
      <c r="R133" s="10"/>
      <c r="S133" s="10"/>
      <c r="T133" s="11" t="str">
        <f t="shared" si="4"/>
        <v>Time (Min) missing</v>
      </c>
    </row>
    <row r="134" spans="1:20" x14ac:dyDescent="0.3">
      <c r="A134" s="21" t="s">
        <v>66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22" t="s">
        <v>45</v>
      </c>
      <c r="M134" s="21"/>
      <c r="N134" s="21"/>
      <c r="O134" s="21"/>
      <c r="P134" s="23"/>
      <c r="Q134" s="21"/>
      <c r="R134" s="21"/>
      <c r="S134" s="21"/>
      <c r="T134" s="17" t="str">
        <f t="shared" si="4"/>
        <v>Time (Min) missing</v>
      </c>
    </row>
    <row r="135" spans="1:20" x14ac:dyDescent="0.3">
      <c r="A135" s="24" t="s">
        <v>67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6" t="s">
        <v>34</v>
      </c>
      <c r="M135" s="24"/>
      <c r="N135" s="24"/>
      <c r="O135" s="24"/>
      <c r="P135" s="25"/>
      <c r="Q135" s="10"/>
      <c r="R135" s="10"/>
      <c r="S135" s="10"/>
      <c r="T135" s="11" t="str">
        <f t="shared" si="4"/>
        <v>Fill plan + activity</v>
      </c>
    </row>
    <row r="136" spans="1:20" x14ac:dyDescent="0.3">
      <c r="A136" s="24" t="s">
        <v>67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26" t="s">
        <v>38</v>
      </c>
      <c r="M136" s="24"/>
      <c r="N136" s="24"/>
      <c r="O136" s="24"/>
      <c r="P136" s="25"/>
      <c r="Q136" s="10"/>
      <c r="R136" s="10"/>
      <c r="S136" s="10"/>
      <c r="T136" s="11" t="str">
        <f t="shared" si="4"/>
        <v>Time (Min) missing</v>
      </c>
    </row>
    <row r="137" spans="1:20" x14ac:dyDescent="0.3">
      <c r="A137" s="24" t="s">
        <v>67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26" t="s">
        <v>40</v>
      </c>
      <c r="M137" s="24"/>
      <c r="N137" s="24"/>
      <c r="O137" s="24"/>
      <c r="P137" s="25"/>
      <c r="Q137" s="10"/>
      <c r="R137" s="10"/>
      <c r="S137" s="10"/>
      <c r="T137" s="11" t="str">
        <f t="shared" si="4"/>
        <v>Time (Min) missing</v>
      </c>
    </row>
    <row r="138" spans="1:20" x14ac:dyDescent="0.3">
      <c r="A138" s="24" t="s">
        <v>67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26" t="s">
        <v>43</v>
      </c>
      <c r="M138" s="24"/>
      <c r="N138" s="24"/>
      <c r="O138" s="24"/>
      <c r="P138" s="25"/>
      <c r="Q138" s="10"/>
      <c r="R138" s="10"/>
      <c r="S138" s="10"/>
      <c r="T138" s="11" t="str">
        <f t="shared" si="4"/>
        <v>Time (Min) missing</v>
      </c>
    </row>
    <row r="139" spans="1:20" x14ac:dyDescent="0.3">
      <c r="A139" s="24" t="s">
        <v>67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26" t="s">
        <v>44</v>
      </c>
      <c r="M139" s="24"/>
      <c r="N139" s="24"/>
      <c r="O139" s="24"/>
      <c r="P139" s="25"/>
      <c r="Q139" s="10"/>
      <c r="R139" s="10"/>
      <c r="S139" s="10"/>
      <c r="T139" s="11" t="str">
        <f t="shared" si="4"/>
        <v>Time (Min) missing</v>
      </c>
    </row>
    <row r="140" spans="1:20" x14ac:dyDescent="0.3">
      <c r="A140" s="27" t="s">
        <v>67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28" t="s">
        <v>45</v>
      </c>
      <c r="M140" s="27"/>
      <c r="N140" s="27"/>
      <c r="O140" s="27"/>
      <c r="P140" s="29"/>
      <c r="Q140" s="27"/>
      <c r="R140" s="27"/>
      <c r="S140" s="27"/>
      <c r="T140" s="17" t="str">
        <f t="shared" si="4"/>
        <v>Time (Min) missing</v>
      </c>
    </row>
    <row r="141" spans="1:20" x14ac:dyDescent="0.3">
      <c r="A141" s="18" t="s">
        <v>68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 t="s">
        <v>34</v>
      </c>
      <c r="M141" s="18"/>
      <c r="N141" s="18"/>
      <c r="O141" s="18"/>
      <c r="P141" s="19"/>
      <c r="Q141" s="10"/>
      <c r="R141" s="10"/>
      <c r="S141" s="10"/>
      <c r="T141" s="11" t="str">
        <f t="shared" si="4"/>
        <v>Fill plan + activity</v>
      </c>
    </row>
    <row r="142" spans="1:20" x14ac:dyDescent="0.3">
      <c r="A142" s="18" t="s">
        <v>68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20" t="s">
        <v>38</v>
      </c>
      <c r="M142" s="18"/>
      <c r="N142" s="18"/>
      <c r="O142" s="18"/>
      <c r="P142" s="19"/>
      <c r="Q142" s="10"/>
      <c r="R142" s="10"/>
      <c r="S142" s="10"/>
      <c r="T142" s="11" t="str">
        <f t="shared" si="4"/>
        <v>Time (Min) missing</v>
      </c>
    </row>
    <row r="143" spans="1:20" x14ac:dyDescent="0.3">
      <c r="A143" s="18" t="s">
        <v>68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20" t="s">
        <v>40</v>
      </c>
      <c r="M143" s="18"/>
      <c r="N143" s="18"/>
      <c r="O143" s="18"/>
      <c r="P143" s="19"/>
      <c r="Q143" s="10"/>
      <c r="R143" s="10"/>
      <c r="S143" s="10"/>
      <c r="T143" s="11" t="str">
        <f t="shared" si="4"/>
        <v>Time (Min) missing</v>
      </c>
    </row>
    <row r="144" spans="1:20" x14ac:dyDescent="0.3">
      <c r="A144" s="18" t="s">
        <v>68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20" t="s">
        <v>43</v>
      </c>
      <c r="M144" s="18"/>
      <c r="N144" s="18"/>
      <c r="O144" s="18"/>
      <c r="P144" s="19"/>
      <c r="Q144" s="10"/>
      <c r="R144" s="10"/>
      <c r="S144" s="10"/>
      <c r="T144" s="11" t="str">
        <f t="shared" si="4"/>
        <v>Time (Min) missing</v>
      </c>
    </row>
    <row r="145" spans="1:20" x14ac:dyDescent="0.3">
      <c r="A145" s="18" t="s">
        <v>68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20" t="s">
        <v>44</v>
      </c>
      <c r="M145" s="18"/>
      <c r="N145" s="18"/>
      <c r="O145" s="18"/>
      <c r="P145" s="19"/>
      <c r="Q145" s="10"/>
      <c r="R145" s="10"/>
      <c r="S145" s="10"/>
      <c r="T145" s="11" t="str">
        <f t="shared" si="4"/>
        <v>Time (Min) missing</v>
      </c>
    </row>
    <row r="146" spans="1:20" x14ac:dyDescent="0.3">
      <c r="A146" s="21" t="s">
        <v>68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22" t="s">
        <v>45</v>
      </c>
      <c r="M146" s="21"/>
      <c r="N146" s="21"/>
      <c r="O146" s="21"/>
      <c r="P146" s="23"/>
      <c r="Q146" s="21"/>
      <c r="R146" s="21"/>
      <c r="S146" s="21"/>
      <c r="T146" s="17" t="str">
        <f t="shared" si="4"/>
        <v>Time (Min) missing</v>
      </c>
    </row>
    <row r="147" spans="1:20" x14ac:dyDescent="0.3">
      <c r="A147" s="24" t="s">
        <v>69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6" t="s">
        <v>34</v>
      </c>
      <c r="M147" s="24"/>
      <c r="N147" s="24"/>
      <c r="O147" s="24"/>
      <c r="P147" s="25"/>
      <c r="Q147" s="10"/>
      <c r="R147" s="10"/>
      <c r="S147" s="10"/>
      <c r="T147" s="11" t="str">
        <f t="shared" si="4"/>
        <v>Fill plan + activity</v>
      </c>
    </row>
    <row r="148" spans="1:20" x14ac:dyDescent="0.3">
      <c r="A148" s="24" t="s">
        <v>69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26" t="s">
        <v>38</v>
      </c>
      <c r="M148" s="24"/>
      <c r="N148" s="24"/>
      <c r="O148" s="24"/>
      <c r="P148" s="25"/>
      <c r="Q148" s="10"/>
      <c r="R148" s="10"/>
      <c r="S148" s="10"/>
      <c r="T148" s="11" t="str">
        <f t="shared" si="4"/>
        <v>Time (Min) missing</v>
      </c>
    </row>
    <row r="149" spans="1:20" x14ac:dyDescent="0.3">
      <c r="A149" s="24" t="s">
        <v>69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26" t="s">
        <v>40</v>
      </c>
      <c r="M149" s="24"/>
      <c r="N149" s="24"/>
      <c r="O149" s="24"/>
      <c r="P149" s="25"/>
      <c r="Q149" s="10"/>
      <c r="R149" s="10"/>
      <c r="S149" s="10"/>
      <c r="T149" s="11" t="str">
        <f t="shared" si="4"/>
        <v>Time (Min) missing</v>
      </c>
    </row>
    <row r="150" spans="1:20" x14ac:dyDescent="0.3">
      <c r="A150" s="24" t="s">
        <v>69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26" t="s">
        <v>43</v>
      </c>
      <c r="M150" s="24"/>
      <c r="N150" s="24"/>
      <c r="O150" s="24"/>
      <c r="P150" s="25"/>
      <c r="Q150" s="10"/>
      <c r="R150" s="10"/>
      <c r="S150" s="10"/>
      <c r="T150" s="11" t="str">
        <f t="shared" si="4"/>
        <v>Time (Min) missing</v>
      </c>
    </row>
    <row r="151" spans="1:20" x14ac:dyDescent="0.3">
      <c r="A151" s="24" t="s">
        <v>69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26" t="s">
        <v>44</v>
      </c>
      <c r="M151" s="24"/>
      <c r="N151" s="24"/>
      <c r="O151" s="24"/>
      <c r="P151" s="25"/>
      <c r="Q151" s="10"/>
      <c r="R151" s="10"/>
      <c r="S151" s="10"/>
      <c r="T151" s="11" t="str">
        <f t="shared" si="4"/>
        <v>Time (Min) missing</v>
      </c>
    </row>
    <row r="152" spans="1:20" x14ac:dyDescent="0.3">
      <c r="A152" s="27" t="s">
        <v>69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28" t="s">
        <v>45</v>
      </c>
      <c r="M152" s="27"/>
      <c r="N152" s="27"/>
      <c r="O152" s="27"/>
      <c r="P152" s="29"/>
      <c r="Q152" s="27"/>
      <c r="R152" s="27"/>
      <c r="S152" s="27"/>
      <c r="T152" s="17" t="str">
        <f t="shared" si="4"/>
        <v>Time (Min) missing</v>
      </c>
    </row>
  </sheetData>
  <mergeCells count="2">
    <mergeCell ref="B1:K1"/>
    <mergeCell ref="L1:S1"/>
  </mergeCells>
  <dataValidations count="8">
    <dataValidation type="list" allowBlank="1" showErrorMessage="1" errorTitle="Not in master list" error="Pick from the list. Add options on the Reference or Teams sheet." sqref="F3:F152" xr:uid="{00000000-0002-0000-0000-000004000000}">
      <formula1>REF_NETDOMAIN</formula1>
      <formula2>0</formula2>
    </dataValidation>
    <dataValidation type="list" allowBlank="1" showErrorMessage="1" errorTitle="Not in master list" error="Pick from the list. Add options on the Reference or Teams sheet." sqref="G3:G152" xr:uid="{00000000-0002-0000-0000-000005000000}">
      <formula1>REF_LAYER</formula1>
      <formula2>0</formula2>
    </dataValidation>
    <dataValidation type="list" allowBlank="1" showErrorMessage="1" errorTitle="Not in master list" error="Pick from the list. Add options on the Reference or Teams sheet." sqref="H3:H152" xr:uid="{00000000-0002-0000-0000-000006000000}">
      <formula1>REF_PLANTYPE</formula1>
      <formula2>0</formula2>
    </dataValidation>
    <dataValidation type="list" allowBlank="1" showErrorMessage="1" errorTitle="Not in master list" error="Pick from the list. Add options on the Reference or Teams sheet." sqref="I3:I152" xr:uid="{00000000-0002-0000-0000-000007000000}">
      <formula1>REF_VENDOR</formula1>
      <formula2>0</formula2>
    </dataValidation>
    <dataValidation type="list" allowBlank="1" showErrorMessage="1" errorTitle="Not in master list" error="Pick from the list. Add options on the Reference or Teams sheet." sqref="J3:J152" xr:uid="{00000000-0002-0000-0000-000008000000}">
      <formula1>REF_IMPACT</formula1>
      <formula2>0</formula2>
    </dataValidation>
    <dataValidation type="list" allowBlank="1" showErrorMessage="1" errorTitle="Not in master list" error="Pick from the list. Add options on the Reference or Teams sheet." sqref="M3:M152" xr:uid="{00000000-0002-0000-0000-000009000000}">
      <formula1>REF_SHIFT</formula1>
      <formula2>0</formula2>
    </dataValidation>
    <dataValidation type="list" allowBlank="1" showErrorMessage="1" errorTitle="Not in master list" error="Pick from the list. Add options on the Reference or Teams sheet." sqref="N3:N152" xr:uid="{00000000-0002-0000-0000-00000A000000}">
      <formula1>REF_LEVEL</formula1>
      <formula2>0</formula2>
    </dataValidation>
    <dataValidation type="whole" operator="greaterThanOrEqual" allowBlank="1" showErrorMessage="1" errorTitle="Numeric value required" error="Whole number only (minutes or days, 0 or more)." sqref="Q152:S152 Q14:S14 Q20:S20 Q26:S26 Q32:S32 Q38:S38 Q44:S44 Q50:S50 Q56:S56 Q62:S62 Q68:S68 Q74:S74 Q80:S80 Q86:S86 Q92:S92 Q98:S98 Q104:S104 Q110:S110 Q116:S116 Q122:S122 Q128:S128 Q134:S134 Q140:S140 Q146:S146 O3:O152" xr:uid="{00000000-0002-0000-0000-00000B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Not in master list" error="Pick from the list. Add options on the Reference or Teams sheet." xr:uid="{00000000-0002-0000-0000-000000000000}">
          <x14:formula1>
            <xm:f>Teams!$A$2:$A$79</xm:f>
          </x14:formula1>
          <xm:sqref>B3:B152</xm:sqref>
        </x14:dataValidation>
        <x14:dataValidation type="list" allowBlank="1" showErrorMessage="1" errorTitle="Not in master list" error="Pick from the list. Add options on the Reference or Teams sheet." xr:uid="{00000000-0002-0000-0000-000001000000}">
          <x14:formula1>
            <xm:f>Teams!$B$2:$B$79</xm:f>
          </x14:formula1>
          <xm:sqref>C3:C152</xm:sqref>
        </x14:dataValidation>
        <x14:dataValidation type="list" allowBlank="1" showErrorMessage="1" errorTitle="Not in master list" error="Pick from the list. Add options on the Reference or Teams sheet." xr:uid="{00000000-0002-0000-0000-000002000000}">
          <x14:formula1>
            <xm:f>Teams!$C$2:$C$79</xm:f>
          </x14:formula1>
          <xm:sqref>D3:D152</xm:sqref>
        </x14:dataValidation>
        <x14:dataValidation type="list" allowBlank="1" showErrorMessage="1" errorTitle="Not in master list" error="Pick from the list. Add options on the Reference or Teams sheet." xr:uid="{00000000-0002-0000-0000-000003000000}">
          <x14:formula1>
            <xm:f>Teams!$D$2:$D$79</xm:f>
          </x14:formula1>
          <xm:sqref>E3:E152</xm:sqref>
        </x14:dataValidation>
        <x14:dataValidation type="list" allowBlank="1" showErrorMessage="1" errorTitle="Not in master list" error="Pick from the list. Add options on the Reference or Teams sheet." xr:uid="{00000000-0002-0000-0000-00000C000000}">
          <x14:formula1>
            <xm:f>Teams!$E$2:$E$79</xm:f>
          </x14:formula1>
          <xm:sqref>P3:P152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showGridLines="0" zoomScaleNormal="100" workbookViewId="0">
      <selection activeCell="D17" sqref="D17"/>
    </sheetView>
  </sheetViews>
  <sheetFormatPr defaultColWidth="8.77734375" defaultRowHeight="14.4" x14ac:dyDescent="0.3"/>
  <cols>
    <col min="1" max="2" width="18" customWidth="1"/>
    <col min="3" max="4" width="46" customWidth="1"/>
    <col min="5" max="7" width="18" customWidth="1"/>
    <col min="9" max="9" width="14" customWidth="1"/>
    <col min="10" max="10" width="30" customWidth="1"/>
    <col min="12" max="12" width="24" customWidth="1"/>
    <col min="13" max="13" width="10" customWidth="1"/>
  </cols>
  <sheetData>
    <row r="1" spans="1:13" x14ac:dyDescent="0.3">
      <c r="A1" s="30" t="s">
        <v>70</v>
      </c>
      <c r="B1" s="30" t="s">
        <v>71</v>
      </c>
      <c r="C1" s="30" t="s">
        <v>72</v>
      </c>
      <c r="D1" s="30" t="s">
        <v>73</v>
      </c>
      <c r="E1" s="30" t="s">
        <v>74</v>
      </c>
      <c r="F1" s="30" t="s">
        <v>75</v>
      </c>
      <c r="G1" s="30" t="s">
        <v>17</v>
      </c>
      <c r="I1" s="30" t="s">
        <v>75</v>
      </c>
      <c r="J1" s="30" t="s">
        <v>76</v>
      </c>
      <c r="L1" s="30" t="s">
        <v>77</v>
      </c>
      <c r="M1" s="30" t="s">
        <v>78</v>
      </c>
    </row>
    <row r="2" spans="1:13" x14ac:dyDescent="0.3">
      <c r="A2" s="31" t="s">
        <v>29</v>
      </c>
      <c r="B2" s="31" t="s">
        <v>30</v>
      </c>
      <c r="C2" s="31" t="s">
        <v>31</v>
      </c>
      <c r="D2" s="31" t="s">
        <v>32</v>
      </c>
      <c r="E2" s="31" t="s">
        <v>33</v>
      </c>
      <c r="F2" s="31" t="s">
        <v>79</v>
      </c>
      <c r="G2" s="31" t="s">
        <v>80</v>
      </c>
      <c r="I2" s="31" t="s">
        <v>79</v>
      </c>
      <c r="J2" s="31" t="s">
        <v>81</v>
      </c>
      <c r="L2" s="31" t="s">
        <v>34</v>
      </c>
      <c r="M2" s="32">
        <v>1</v>
      </c>
    </row>
    <row r="3" spans="1:13" x14ac:dyDescent="0.3">
      <c r="A3" s="31" t="s">
        <v>82</v>
      </c>
      <c r="B3" s="31" t="s">
        <v>83</v>
      </c>
      <c r="C3" s="31" t="s">
        <v>84</v>
      </c>
      <c r="D3" s="31" t="s">
        <v>85</v>
      </c>
      <c r="E3" s="31" t="s">
        <v>86</v>
      </c>
      <c r="F3" s="31" t="s">
        <v>87</v>
      </c>
      <c r="G3" s="31" t="s">
        <v>42</v>
      </c>
      <c r="I3" s="31" t="s">
        <v>87</v>
      </c>
      <c r="J3" s="31" t="s">
        <v>88</v>
      </c>
      <c r="L3" s="31" t="s">
        <v>38</v>
      </c>
      <c r="M3" s="32">
        <v>2</v>
      </c>
    </row>
    <row r="4" spans="1:13" x14ac:dyDescent="0.3">
      <c r="B4" s="31" t="s">
        <v>89</v>
      </c>
      <c r="C4" s="31" t="s">
        <v>90</v>
      </c>
      <c r="D4" s="31" t="s">
        <v>91</v>
      </c>
      <c r="F4" s="31" t="s">
        <v>35</v>
      </c>
      <c r="G4" s="31" t="s">
        <v>39</v>
      </c>
      <c r="I4" s="31" t="s">
        <v>35</v>
      </c>
      <c r="J4" s="31" t="s">
        <v>92</v>
      </c>
      <c r="L4" s="31" t="s">
        <v>40</v>
      </c>
      <c r="M4" s="32">
        <v>3</v>
      </c>
    </row>
    <row r="5" spans="1:13" x14ac:dyDescent="0.3">
      <c r="B5" s="31" t="s">
        <v>93</v>
      </c>
      <c r="C5" s="31" t="s">
        <v>94</v>
      </c>
      <c r="D5" s="31" t="s">
        <v>95</v>
      </c>
      <c r="F5" s="31" t="s">
        <v>41</v>
      </c>
      <c r="G5" s="31" t="s">
        <v>36</v>
      </c>
      <c r="I5" s="31" t="s">
        <v>41</v>
      </c>
      <c r="J5" s="31" t="s">
        <v>96</v>
      </c>
      <c r="L5" s="31" t="s">
        <v>43</v>
      </c>
      <c r="M5" s="32">
        <v>4</v>
      </c>
    </row>
    <row r="6" spans="1:13" x14ac:dyDescent="0.3">
      <c r="B6" s="31" t="s">
        <v>97</v>
      </c>
      <c r="C6" s="31" t="s">
        <v>98</v>
      </c>
      <c r="D6" s="31" t="s">
        <v>99</v>
      </c>
      <c r="F6" s="31" t="s">
        <v>100</v>
      </c>
      <c r="G6" s="31" t="s">
        <v>101</v>
      </c>
      <c r="I6" s="31" t="s">
        <v>100</v>
      </c>
      <c r="J6" s="31" t="s">
        <v>102</v>
      </c>
      <c r="L6" s="31" t="s">
        <v>44</v>
      </c>
      <c r="M6" s="32">
        <v>5</v>
      </c>
    </row>
    <row r="7" spans="1:13" x14ac:dyDescent="0.3">
      <c r="C7" s="31" t="s">
        <v>103</v>
      </c>
      <c r="D7" s="31" t="s">
        <v>104</v>
      </c>
      <c r="L7" s="31" t="s">
        <v>45</v>
      </c>
      <c r="M7" s="32">
        <v>6</v>
      </c>
    </row>
    <row r="8" spans="1:13" x14ac:dyDescent="0.3">
      <c r="C8" s="31" t="s">
        <v>105</v>
      </c>
      <c r="D8" s="31" t="s">
        <v>106</v>
      </c>
    </row>
    <row r="9" spans="1:13" x14ac:dyDescent="0.3">
      <c r="D9" s="31" t="s">
        <v>107</v>
      </c>
    </row>
    <row r="10" spans="1:13" x14ac:dyDescent="0.3">
      <c r="D10" s="31" t="s">
        <v>108</v>
      </c>
    </row>
    <row r="12" spans="1:13" x14ac:dyDescent="0.3">
      <c r="A12" s="33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2"/>
  <sheetViews>
    <sheetView showGridLines="0" zoomScaleNormal="100" workbookViewId="0">
      <selection activeCell="A6" sqref="A6:XFD6"/>
    </sheetView>
  </sheetViews>
  <sheetFormatPr defaultColWidth="8.77734375" defaultRowHeight="14.4" x14ac:dyDescent="0.3"/>
  <cols>
    <col min="1" max="2" width="24" customWidth="1"/>
    <col min="3" max="3" width="20" customWidth="1"/>
    <col min="4" max="4" width="23.88671875" customWidth="1"/>
    <col min="5" max="5" width="77.77734375" customWidth="1"/>
  </cols>
  <sheetData>
    <row r="1" spans="1:5" x14ac:dyDescent="0.3">
      <c r="A1" s="30" t="s">
        <v>110</v>
      </c>
      <c r="B1" s="30" t="s">
        <v>111</v>
      </c>
      <c r="C1" s="30" t="s">
        <v>112</v>
      </c>
      <c r="D1" s="30" t="s">
        <v>113</v>
      </c>
      <c r="E1" s="30" t="s">
        <v>114</v>
      </c>
    </row>
    <row r="2" spans="1:5" x14ac:dyDescent="0.3">
      <c r="A2" s="31" t="s">
        <v>25</v>
      </c>
      <c r="B2" s="31" t="s">
        <v>26</v>
      </c>
      <c r="C2" s="31" t="s">
        <v>161</v>
      </c>
      <c r="D2" s="34" t="s">
        <v>162</v>
      </c>
      <c r="E2" s="35" t="s">
        <v>163</v>
      </c>
    </row>
    <row r="3" spans="1:5" x14ac:dyDescent="0.3">
      <c r="A3" s="31" t="s">
        <v>25</v>
      </c>
      <c r="B3" s="31" t="s">
        <v>26</v>
      </c>
      <c r="C3" s="44" t="s">
        <v>161</v>
      </c>
      <c r="D3" s="31" t="s">
        <v>164</v>
      </c>
      <c r="E3" s="35" t="s">
        <v>165</v>
      </c>
    </row>
    <row r="4" spans="1:5" x14ac:dyDescent="0.3">
      <c r="A4" s="31" t="s">
        <v>25</v>
      </c>
      <c r="B4" s="31" t="s">
        <v>26</v>
      </c>
      <c r="C4" s="31" t="s">
        <v>161</v>
      </c>
      <c r="D4" s="31" t="s">
        <v>166</v>
      </c>
      <c r="E4" s="35" t="s">
        <v>167</v>
      </c>
    </row>
    <row r="5" spans="1:5" x14ac:dyDescent="0.3">
      <c r="A5" s="31" t="s">
        <v>25</v>
      </c>
      <c r="B5" s="31" t="s">
        <v>26</v>
      </c>
      <c r="C5" s="31" t="s">
        <v>161</v>
      </c>
      <c r="D5" s="31" t="s">
        <v>168</v>
      </c>
      <c r="E5" s="35" t="s">
        <v>169</v>
      </c>
    </row>
    <row r="6" spans="1:5" x14ac:dyDescent="0.3">
      <c r="A6" s="31" t="s">
        <v>25</v>
      </c>
      <c r="B6" s="31" t="s">
        <v>26</v>
      </c>
      <c r="C6" s="31" t="s">
        <v>27</v>
      </c>
      <c r="D6" s="31" t="s">
        <v>28</v>
      </c>
      <c r="E6" s="35" t="s">
        <v>37</v>
      </c>
    </row>
    <row r="7" spans="1:5" x14ac:dyDescent="0.3">
      <c r="A7" s="31" t="s">
        <v>25</v>
      </c>
      <c r="B7" s="31" t="s">
        <v>26</v>
      </c>
      <c r="C7" s="31" t="s">
        <v>27</v>
      </c>
      <c r="D7" s="31" t="s">
        <v>170</v>
      </c>
      <c r="E7" s="35" t="s">
        <v>313</v>
      </c>
    </row>
    <row r="8" spans="1:5" x14ac:dyDescent="0.3">
      <c r="A8" s="31" t="s">
        <v>25</v>
      </c>
      <c r="B8" s="31" t="s">
        <v>26</v>
      </c>
      <c r="C8" s="43" t="s">
        <v>27</v>
      </c>
      <c r="D8" s="43" t="s">
        <v>159</v>
      </c>
      <c r="E8" s="45" t="s">
        <v>160</v>
      </c>
    </row>
    <row r="9" spans="1:5" x14ac:dyDescent="0.3">
      <c r="A9" s="31" t="s">
        <v>25</v>
      </c>
      <c r="B9" s="31" t="s">
        <v>26</v>
      </c>
      <c r="C9" s="43" t="s">
        <v>171</v>
      </c>
      <c r="D9" s="43" t="s">
        <v>172</v>
      </c>
      <c r="E9" s="45" t="s">
        <v>179</v>
      </c>
    </row>
    <row r="10" spans="1:5" x14ac:dyDescent="0.3">
      <c r="A10" s="31" t="s">
        <v>25</v>
      </c>
      <c r="B10" s="31" t="s">
        <v>26</v>
      </c>
      <c r="C10" s="43" t="s">
        <v>171</v>
      </c>
      <c r="D10" s="43" t="s">
        <v>173</v>
      </c>
      <c r="E10" s="45" t="s">
        <v>180</v>
      </c>
    </row>
    <row r="11" spans="1:5" x14ac:dyDescent="0.3">
      <c r="A11" s="31" t="s">
        <v>25</v>
      </c>
      <c r="B11" s="31" t="s">
        <v>26</v>
      </c>
      <c r="C11" s="43" t="s">
        <v>171</v>
      </c>
      <c r="D11" s="43" t="s">
        <v>115</v>
      </c>
      <c r="E11" s="45" t="s">
        <v>181</v>
      </c>
    </row>
    <row r="12" spans="1:5" x14ac:dyDescent="0.3">
      <c r="A12" s="31" t="s">
        <v>25</v>
      </c>
      <c r="B12" s="31" t="s">
        <v>26</v>
      </c>
      <c r="C12" s="43" t="s">
        <v>174</v>
      </c>
      <c r="D12" s="43" t="s">
        <v>175</v>
      </c>
      <c r="E12" s="45" t="s">
        <v>182</v>
      </c>
    </row>
    <row r="13" spans="1:5" x14ac:dyDescent="0.3">
      <c r="A13" s="31" t="s">
        <v>25</v>
      </c>
      <c r="B13" s="31" t="s">
        <v>26</v>
      </c>
      <c r="C13" s="43" t="s">
        <v>174</v>
      </c>
      <c r="D13" s="43" t="s">
        <v>176</v>
      </c>
      <c r="E13" s="45" t="s">
        <v>183</v>
      </c>
    </row>
    <row r="14" spans="1:5" x14ac:dyDescent="0.3">
      <c r="A14" s="31" t="s">
        <v>25</v>
      </c>
      <c r="B14" s="31" t="s">
        <v>26</v>
      </c>
      <c r="C14" s="43" t="s">
        <v>174</v>
      </c>
      <c r="D14" s="43" t="s">
        <v>178</v>
      </c>
      <c r="E14" s="45" t="s">
        <v>184</v>
      </c>
    </row>
    <row r="15" spans="1:5" x14ac:dyDescent="0.3">
      <c r="A15" s="31" t="s">
        <v>25</v>
      </c>
      <c r="B15" s="31" t="s">
        <v>26</v>
      </c>
      <c r="C15" t="s">
        <v>174</v>
      </c>
      <c r="D15" t="s">
        <v>177</v>
      </c>
      <c r="E15" s="46" t="s">
        <v>185</v>
      </c>
    </row>
    <row r="16" spans="1:5" x14ac:dyDescent="0.3">
      <c r="A16" s="31" t="s">
        <v>25</v>
      </c>
      <c r="B16" s="31" t="s">
        <v>26</v>
      </c>
      <c r="C16" s="43" t="s">
        <v>156</v>
      </c>
      <c r="D16" s="43" t="s">
        <v>186</v>
      </c>
      <c r="E16" s="46" t="s">
        <v>188</v>
      </c>
    </row>
    <row r="17" spans="1:5" x14ac:dyDescent="0.3">
      <c r="A17" s="31" t="s">
        <v>25</v>
      </c>
      <c r="B17" s="31" t="s">
        <v>26</v>
      </c>
      <c r="C17" s="43" t="s">
        <v>156</v>
      </c>
      <c r="D17" s="43" t="s">
        <v>187</v>
      </c>
      <c r="E17" s="46" t="s">
        <v>189</v>
      </c>
    </row>
    <row r="18" spans="1:5" x14ac:dyDescent="0.3">
      <c r="A18" s="31" t="s">
        <v>25</v>
      </c>
      <c r="B18" s="31" t="s">
        <v>26</v>
      </c>
      <c r="C18" s="43" t="s">
        <v>190</v>
      </c>
      <c r="D18" s="43" t="s">
        <v>191</v>
      </c>
      <c r="E18" s="46" t="s">
        <v>195</v>
      </c>
    </row>
    <row r="19" spans="1:5" x14ac:dyDescent="0.3">
      <c r="A19" s="31" t="s">
        <v>25</v>
      </c>
      <c r="B19" s="31" t="s">
        <v>26</v>
      </c>
      <c r="C19" s="43" t="s">
        <v>190</v>
      </c>
      <c r="D19" s="43" t="s">
        <v>192</v>
      </c>
      <c r="E19" s="46" t="s">
        <v>196</v>
      </c>
    </row>
    <row r="20" spans="1:5" x14ac:dyDescent="0.3">
      <c r="A20" s="31" t="s">
        <v>25</v>
      </c>
      <c r="B20" s="31" t="s">
        <v>26</v>
      </c>
      <c r="C20" s="43" t="s">
        <v>190</v>
      </c>
      <c r="D20" s="43" t="s">
        <v>193</v>
      </c>
      <c r="E20" s="46" t="s">
        <v>197</v>
      </c>
    </row>
    <row r="21" spans="1:5" x14ac:dyDescent="0.3">
      <c r="A21" s="31" t="s">
        <v>25</v>
      </c>
      <c r="B21" s="31" t="s">
        <v>26</v>
      </c>
      <c r="C21" s="43" t="s">
        <v>190</v>
      </c>
      <c r="D21" s="43" t="s">
        <v>194</v>
      </c>
      <c r="E21" s="46" t="s">
        <v>198</v>
      </c>
    </row>
    <row r="22" spans="1:5" x14ac:dyDescent="0.3">
      <c r="A22" s="42" t="s">
        <v>154</v>
      </c>
      <c r="B22" s="43" t="s">
        <v>155</v>
      </c>
      <c r="C22" s="43" t="s">
        <v>27</v>
      </c>
      <c r="D22" s="43" t="s">
        <v>159</v>
      </c>
      <c r="E22" s="46" t="s">
        <v>200</v>
      </c>
    </row>
    <row r="23" spans="1:5" x14ac:dyDescent="0.3">
      <c r="A23" s="42" t="s">
        <v>154</v>
      </c>
      <c r="B23" s="42" t="s">
        <v>155</v>
      </c>
      <c r="C23" s="43" t="s">
        <v>27</v>
      </c>
      <c r="D23" s="43" t="s">
        <v>28</v>
      </c>
      <c r="E23" s="46" t="s">
        <v>201</v>
      </c>
    </row>
    <row r="24" spans="1:5" x14ac:dyDescent="0.3">
      <c r="A24" s="42" t="s">
        <v>154</v>
      </c>
      <c r="B24" s="42" t="s">
        <v>155</v>
      </c>
      <c r="C24" s="43" t="s">
        <v>27</v>
      </c>
      <c r="D24" s="43" t="s">
        <v>170</v>
      </c>
      <c r="E24" s="46" t="s">
        <v>202</v>
      </c>
    </row>
    <row r="25" spans="1:5" x14ac:dyDescent="0.3">
      <c r="A25" s="42" t="s">
        <v>154</v>
      </c>
      <c r="B25" s="42" t="s">
        <v>155</v>
      </c>
      <c r="C25" s="43" t="s">
        <v>171</v>
      </c>
      <c r="D25" s="43" t="s">
        <v>172</v>
      </c>
      <c r="E25" s="46" t="s">
        <v>203</v>
      </c>
    </row>
    <row r="26" spans="1:5" x14ac:dyDescent="0.3">
      <c r="A26" s="42" t="s">
        <v>154</v>
      </c>
      <c r="B26" s="42" t="s">
        <v>155</v>
      </c>
      <c r="C26" s="43" t="s">
        <v>171</v>
      </c>
      <c r="D26" s="43" t="s">
        <v>173</v>
      </c>
      <c r="E26" s="46" t="s">
        <v>204</v>
      </c>
    </row>
    <row r="27" spans="1:5" x14ac:dyDescent="0.3">
      <c r="A27" s="42" t="s">
        <v>154</v>
      </c>
      <c r="B27" s="42" t="s">
        <v>155</v>
      </c>
      <c r="C27" s="43" t="s">
        <v>171</v>
      </c>
      <c r="D27" s="43" t="s">
        <v>115</v>
      </c>
      <c r="E27" s="46" t="s">
        <v>205</v>
      </c>
    </row>
    <row r="28" spans="1:5" x14ac:dyDescent="0.3">
      <c r="A28" s="42" t="s">
        <v>154</v>
      </c>
      <c r="B28" s="42" t="s">
        <v>155</v>
      </c>
      <c r="C28" s="43" t="s">
        <v>174</v>
      </c>
      <c r="D28" s="43" t="s">
        <v>175</v>
      </c>
      <c r="E28" s="46" t="s">
        <v>206</v>
      </c>
    </row>
    <row r="29" spans="1:5" x14ac:dyDescent="0.3">
      <c r="A29" s="42" t="s">
        <v>154</v>
      </c>
      <c r="B29" s="42" t="s">
        <v>155</v>
      </c>
      <c r="C29" s="43" t="s">
        <v>174</v>
      </c>
      <c r="D29" s="43" t="s">
        <v>178</v>
      </c>
      <c r="E29" s="46" t="s">
        <v>207</v>
      </c>
    </row>
    <row r="30" spans="1:5" x14ac:dyDescent="0.3">
      <c r="A30" s="42" t="s">
        <v>154</v>
      </c>
      <c r="B30" s="42" t="s">
        <v>155</v>
      </c>
      <c r="C30" s="43" t="s">
        <v>156</v>
      </c>
      <c r="D30" s="43" t="s">
        <v>199</v>
      </c>
      <c r="E30" s="46" t="s">
        <v>208</v>
      </c>
    </row>
    <row r="31" spans="1:5" x14ac:dyDescent="0.3">
      <c r="A31" s="42" t="s">
        <v>154</v>
      </c>
      <c r="B31" s="42" t="s">
        <v>155</v>
      </c>
      <c r="C31" s="43" t="s">
        <v>156</v>
      </c>
      <c r="D31" s="43" t="s">
        <v>157</v>
      </c>
      <c r="E31" s="46" t="s">
        <v>158</v>
      </c>
    </row>
    <row r="32" spans="1:5" x14ac:dyDescent="0.3">
      <c r="A32" s="43" t="s">
        <v>154</v>
      </c>
      <c r="B32" s="43" t="s">
        <v>155</v>
      </c>
      <c r="C32" s="43" t="s">
        <v>190</v>
      </c>
      <c r="D32" s="43" t="s">
        <v>191</v>
      </c>
      <c r="E32" s="46" t="s">
        <v>209</v>
      </c>
    </row>
    <row r="33" spans="1:5" x14ac:dyDescent="0.3">
      <c r="A33" s="42" t="s">
        <v>154</v>
      </c>
      <c r="B33" s="42" t="s">
        <v>155</v>
      </c>
      <c r="C33" s="43" t="s">
        <v>190</v>
      </c>
      <c r="D33" s="43" t="s">
        <v>194</v>
      </c>
      <c r="E33" s="46" t="s">
        <v>211</v>
      </c>
    </row>
    <row r="34" spans="1:5" x14ac:dyDescent="0.3">
      <c r="A34" s="42" t="s">
        <v>154</v>
      </c>
      <c r="B34" s="42" t="s">
        <v>155</v>
      </c>
      <c r="C34" s="43" t="s">
        <v>190</v>
      </c>
      <c r="D34" s="43" t="s">
        <v>192</v>
      </c>
      <c r="E34" s="46" t="s">
        <v>210</v>
      </c>
    </row>
    <row r="35" spans="1:5" x14ac:dyDescent="0.3">
      <c r="A35" s="43" t="s">
        <v>25</v>
      </c>
      <c r="B35" s="43" t="s">
        <v>212</v>
      </c>
      <c r="C35" s="43" t="s">
        <v>212</v>
      </c>
      <c r="D35" s="43" t="s">
        <v>213</v>
      </c>
      <c r="E35" s="46" t="s">
        <v>219</v>
      </c>
    </row>
    <row r="36" spans="1:5" x14ac:dyDescent="0.3">
      <c r="A36" s="42" t="s">
        <v>25</v>
      </c>
      <c r="B36" s="42" t="s">
        <v>212</v>
      </c>
      <c r="C36" s="43" t="s">
        <v>212</v>
      </c>
      <c r="D36" s="43" t="s">
        <v>214</v>
      </c>
      <c r="E36" s="46" t="s">
        <v>220</v>
      </c>
    </row>
    <row r="37" spans="1:5" x14ac:dyDescent="0.3">
      <c r="A37" s="42" t="s">
        <v>25</v>
      </c>
      <c r="B37" s="42" t="s">
        <v>212</v>
      </c>
      <c r="C37" s="43" t="s">
        <v>212</v>
      </c>
      <c r="D37" s="43" t="s">
        <v>215</v>
      </c>
      <c r="E37" s="46" t="s">
        <v>221</v>
      </c>
    </row>
    <row r="38" spans="1:5" x14ac:dyDescent="0.3">
      <c r="A38" s="42" t="s">
        <v>25</v>
      </c>
      <c r="B38" s="42" t="s">
        <v>212</v>
      </c>
      <c r="C38" s="43" t="s">
        <v>212</v>
      </c>
      <c r="D38" s="43" t="s">
        <v>216</v>
      </c>
      <c r="E38" s="46" t="s">
        <v>222</v>
      </c>
    </row>
    <row r="39" spans="1:5" x14ac:dyDescent="0.3">
      <c r="A39" s="42" t="s">
        <v>25</v>
      </c>
      <c r="B39" s="42" t="s">
        <v>212</v>
      </c>
      <c r="C39" s="43" t="s">
        <v>212</v>
      </c>
      <c r="D39" s="43" t="s">
        <v>217</v>
      </c>
      <c r="E39" s="46" t="s">
        <v>223</v>
      </c>
    </row>
    <row r="40" spans="1:5" x14ac:dyDescent="0.3">
      <c r="A40" s="42" t="s">
        <v>25</v>
      </c>
      <c r="B40" s="42" t="s">
        <v>212</v>
      </c>
      <c r="C40" s="43" t="s">
        <v>212</v>
      </c>
      <c r="D40" s="43" t="s">
        <v>218</v>
      </c>
      <c r="E40" s="46" t="s">
        <v>224</v>
      </c>
    </row>
    <row r="41" spans="1:5" x14ac:dyDescent="0.3">
      <c r="A41" s="43" t="s">
        <v>25</v>
      </c>
      <c r="B41" s="42" t="s">
        <v>225</v>
      </c>
      <c r="C41" s="43" t="s">
        <v>226</v>
      </c>
      <c r="D41" s="43" t="s">
        <v>228</v>
      </c>
      <c r="E41" s="46" t="s">
        <v>234</v>
      </c>
    </row>
    <row r="42" spans="1:5" x14ac:dyDescent="0.3">
      <c r="A42" s="42" t="s">
        <v>25</v>
      </c>
      <c r="B42" s="42" t="s">
        <v>225</v>
      </c>
      <c r="C42" s="43" t="s">
        <v>226</v>
      </c>
      <c r="D42" s="43" t="s">
        <v>229</v>
      </c>
      <c r="E42" s="46" t="s">
        <v>235</v>
      </c>
    </row>
    <row r="43" spans="1:5" x14ac:dyDescent="0.3">
      <c r="A43" s="42" t="s">
        <v>25</v>
      </c>
      <c r="B43" s="42" t="s">
        <v>225</v>
      </c>
      <c r="C43" s="43" t="s">
        <v>226</v>
      </c>
      <c r="D43" s="43" t="s">
        <v>230</v>
      </c>
      <c r="E43" s="46" t="s">
        <v>236</v>
      </c>
    </row>
    <row r="44" spans="1:5" x14ac:dyDescent="0.3">
      <c r="A44" s="42" t="s">
        <v>25</v>
      </c>
      <c r="B44" s="42" t="s">
        <v>225</v>
      </c>
      <c r="C44" s="43" t="s">
        <v>227</v>
      </c>
      <c r="D44" s="43" t="s">
        <v>231</v>
      </c>
      <c r="E44" s="46" t="s">
        <v>237</v>
      </c>
    </row>
    <row r="45" spans="1:5" x14ac:dyDescent="0.3">
      <c r="A45" s="42" t="s">
        <v>25</v>
      </c>
      <c r="B45" s="42" t="s">
        <v>225</v>
      </c>
      <c r="C45" s="43" t="s">
        <v>227</v>
      </c>
      <c r="D45" s="43" t="s">
        <v>232</v>
      </c>
      <c r="E45" s="46" t="s">
        <v>238</v>
      </c>
    </row>
    <row r="46" spans="1:5" x14ac:dyDescent="0.3">
      <c r="A46" s="43" t="s">
        <v>25</v>
      </c>
      <c r="B46" s="42" t="s">
        <v>225</v>
      </c>
      <c r="C46" s="43" t="s">
        <v>227</v>
      </c>
      <c r="D46" s="43" t="s">
        <v>233</v>
      </c>
      <c r="E46" s="46" t="s">
        <v>239</v>
      </c>
    </row>
    <row r="47" spans="1:5" x14ac:dyDescent="0.3">
      <c r="A47" s="43" t="s">
        <v>25</v>
      </c>
      <c r="B47" s="43" t="s">
        <v>240</v>
      </c>
      <c r="C47" s="43" t="s">
        <v>240</v>
      </c>
      <c r="D47" s="43" t="s">
        <v>240</v>
      </c>
      <c r="E47" s="46" t="s">
        <v>258</v>
      </c>
    </row>
    <row r="48" spans="1:5" x14ac:dyDescent="0.3">
      <c r="A48" s="42" t="s">
        <v>25</v>
      </c>
      <c r="B48" s="42" t="s">
        <v>241</v>
      </c>
      <c r="C48" s="43" t="s">
        <v>244</v>
      </c>
      <c r="D48" s="43" t="s">
        <v>244</v>
      </c>
      <c r="E48" s="46" t="s">
        <v>259</v>
      </c>
    </row>
    <row r="49" spans="1:5" x14ac:dyDescent="0.3">
      <c r="A49" s="42" t="s">
        <v>25</v>
      </c>
      <c r="B49" s="42" t="s">
        <v>241</v>
      </c>
      <c r="C49" s="43" t="s">
        <v>245</v>
      </c>
      <c r="D49" s="43" t="s">
        <v>245</v>
      </c>
      <c r="E49" s="46" t="s">
        <v>260</v>
      </c>
    </row>
    <row r="50" spans="1:5" x14ac:dyDescent="0.3">
      <c r="A50" s="42" t="s">
        <v>25</v>
      </c>
      <c r="B50" s="42" t="s">
        <v>242</v>
      </c>
      <c r="C50" s="43" t="s">
        <v>246</v>
      </c>
      <c r="D50" s="43" t="s">
        <v>248</v>
      </c>
      <c r="E50" s="46" t="s">
        <v>261</v>
      </c>
    </row>
    <row r="51" spans="1:5" x14ac:dyDescent="0.3">
      <c r="A51" s="42" t="s">
        <v>25</v>
      </c>
      <c r="B51" s="42" t="s">
        <v>242</v>
      </c>
      <c r="C51" s="43" t="s">
        <v>246</v>
      </c>
      <c r="D51" s="43" t="s">
        <v>249</v>
      </c>
      <c r="E51" s="46" t="s">
        <v>262</v>
      </c>
    </row>
    <row r="52" spans="1:5" x14ac:dyDescent="0.3">
      <c r="A52" s="42" t="s">
        <v>25</v>
      </c>
      <c r="B52" s="42" t="s">
        <v>242</v>
      </c>
      <c r="C52" s="43" t="s">
        <v>247</v>
      </c>
      <c r="D52" s="43" t="s">
        <v>250</v>
      </c>
      <c r="E52" s="46" t="s">
        <v>263</v>
      </c>
    </row>
    <row r="53" spans="1:5" x14ac:dyDescent="0.3">
      <c r="A53" s="43" t="s">
        <v>25</v>
      </c>
      <c r="B53" s="42" t="s">
        <v>242</v>
      </c>
      <c r="C53" s="43" t="s">
        <v>247</v>
      </c>
      <c r="D53" s="43" t="s">
        <v>251</v>
      </c>
      <c r="E53" s="46" t="s">
        <v>264</v>
      </c>
    </row>
    <row r="54" spans="1:5" x14ac:dyDescent="0.3">
      <c r="A54" s="42" t="s">
        <v>25</v>
      </c>
      <c r="B54" s="42" t="s">
        <v>243</v>
      </c>
      <c r="C54" s="43" t="s">
        <v>246</v>
      </c>
      <c r="D54" s="43" t="s">
        <v>252</v>
      </c>
      <c r="E54" s="46" t="s">
        <v>265</v>
      </c>
    </row>
    <row r="55" spans="1:5" x14ac:dyDescent="0.3">
      <c r="A55" s="42" t="s">
        <v>25</v>
      </c>
      <c r="B55" s="42" t="s">
        <v>243</v>
      </c>
      <c r="C55" s="43" t="s">
        <v>246</v>
      </c>
      <c r="D55" s="43" t="s">
        <v>253</v>
      </c>
      <c r="E55" s="46" t="s">
        <v>266</v>
      </c>
    </row>
    <row r="56" spans="1:5" x14ac:dyDescent="0.3">
      <c r="A56" s="42" t="s">
        <v>25</v>
      </c>
      <c r="B56" s="42" t="s">
        <v>243</v>
      </c>
      <c r="C56" s="43" t="s">
        <v>246</v>
      </c>
      <c r="D56" s="43" t="s">
        <v>254</v>
      </c>
      <c r="E56" s="46" t="s">
        <v>267</v>
      </c>
    </row>
    <row r="57" spans="1:5" x14ac:dyDescent="0.3">
      <c r="A57" s="42" t="s">
        <v>25</v>
      </c>
      <c r="B57" s="42" t="s">
        <v>243</v>
      </c>
      <c r="C57" s="43" t="s">
        <v>246</v>
      </c>
      <c r="D57" s="43" t="s">
        <v>255</v>
      </c>
      <c r="E57" s="46" t="s">
        <v>268</v>
      </c>
    </row>
    <row r="58" spans="1:5" x14ac:dyDescent="0.3">
      <c r="A58" s="43" t="s">
        <v>25</v>
      </c>
      <c r="B58" s="42" t="s">
        <v>243</v>
      </c>
      <c r="C58" s="43" t="s">
        <v>247</v>
      </c>
      <c r="D58" s="43" t="s">
        <v>256</v>
      </c>
      <c r="E58" s="46" t="s">
        <v>269</v>
      </c>
    </row>
    <row r="59" spans="1:5" x14ac:dyDescent="0.3">
      <c r="A59" s="42" t="s">
        <v>25</v>
      </c>
      <c r="B59" s="42" t="s">
        <v>243</v>
      </c>
      <c r="C59" s="43" t="s">
        <v>247</v>
      </c>
      <c r="D59" s="43" t="s">
        <v>257</v>
      </c>
      <c r="E59" s="46" t="s">
        <v>270</v>
      </c>
    </row>
    <row r="60" spans="1:5" x14ac:dyDescent="0.3">
      <c r="A60" s="42" t="s">
        <v>25</v>
      </c>
      <c r="B60" s="42" t="s">
        <v>243</v>
      </c>
      <c r="C60" s="43" t="s">
        <v>247</v>
      </c>
      <c r="D60" s="43" t="s">
        <v>250</v>
      </c>
      <c r="E60" s="46" t="s">
        <v>271</v>
      </c>
    </row>
    <row r="61" spans="1:5" x14ac:dyDescent="0.3">
      <c r="A61" s="43" t="s">
        <v>25</v>
      </c>
      <c r="B61" s="42" t="s">
        <v>243</v>
      </c>
      <c r="C61" s="43" t="s">
        <v>247</v>
      </c>
      <c r="D61" s="43" t="s">
        <v>251</v>
      </c>
      <c r="E61" s="46" t="s">
        <v>272</v>
      </c>
    </row>
    <row r="62" spans="1:5" x14ac:dyDescent="0.3">
      <c r="A62" s="43" t="s">
        <v>273</v>
      </c>
      <c r="B62" s="42" t="s">
        <v>274</v>
      </c>
      <c r="C62" s="43" t="s">
        <v>250</v>
      </c>
      <c r="D62" s="43" t="s">
        <v>275</v>
      </c>
      <c r="E62" s="46" t="s">
        <v>280</v>
      </c>
    </row>
    <row r="63" spans="1:5" x14ac:dyDescent="0.3">
      <c r="A63" s="43" t="s">
        <v>273</v>
      </c>
      <c r="B63" s="42" t="s">
        <v>274</v>
      </c>
      <c r="C63" s="43" t="s">
        <v>250</v>
      </c>
      <c r="D63" s="43" t="s">
        <v>276</v>
      </c>
      <c r="E63" s="46" t="s">
        <v>281</v>
      </c>
    </row>
    <row r="64" spans="1:5" x14ac:dyDescent="0.3">
      <c r="A64" s="43" t="s">
        <v>273</v>
      </c>
      <c r="B64" s="42" t="s">
        <v>274</v>
      </c>
      <c r="C64" s="43" t="s">
        <v>250</v>
      </c>
      <c r="D64" s="43" t="s">
        <v>277</v>
      </c>
      <c r="E64" s="46" t="s">
        <v>282</v>
      </c>
    </row>
    <row r="65" spans="1:5" x14ac:dyDescent="0.3">
      <c r="A65" s="43" t="s">
        <v>273</v>
      </c>
      <c r="B65" s="42" t="s">
        <v>274</v>
      </c>
      <c r="C65" s="43" t="s">
        <v>250</v>
      </c>
      <c r="D65" s="43" t="s">
        <v>278</v>
      </c>
      <c r="E65" s="46" t="s">
        <v>283</v>
      </c>
    </row>
    <row r="66" spans="1:5" x14ac:dyDescent="0.3">
      <c r="A66" s="43" t="s">
        <v>273</v>
      </c>
      <c r="B66" s="42" t="s">
        <v>274</v>
      </c>
      <c r="C66" s="43" t="s">
        <v>250</v>
      </c>
      <c r="D66" s="43" t="s">
        <v>279</v>
      </c>
      <c r="E66" s="46" t="s">
        <v>284</v>
      </c>
    </row>
    <row r="67" spans="1:5" x14ac:dyDescent="0.3">
      <c r="A67" s="43" t="s">
        <v>285</v>
      </c>
      <c r="B67" s="42" t="s">
        <v>286</v>
      </c>
      <c r="C67" s="43" t="s">
        <v>248</v>
      </c>
      <c r="D67" s="43" t="s">
        <v>252</v>
      </c>
      <c r="E67" s="46" t="s">
        <v>302</v>
      </c>
    </row>
    <row r="68" spans="1:5" x14ac:dyDescent="0.3">
      <c r="A68" s="43" t="s">
        <v>285</v>
      </c>
      <c r="B68" s="42" t="s">
        <v>286</v>
      </c>
      <c r="C68" s="43" t="s">
        <v>248</v>
      </c>
      <c r="D68" s="43" t="s">
        <v>254</v>
      </c>
      <c r="E68" s="46" t="s">
        <v>303</v>
      </c>
    </row>
    <row r="69" spans="1:5" x14ac:dyDescent="0.3">
      <c r="A69" s="43" t="s">
        <v>285</v>
      </c>
      <c r="B69" s="42" t="s">
        <v>286</v>
      </c>
      <c r="C69" s="43" t="s">
        <v>174</v>
      </c>
      <c r="D69" s="43" t="s">
        <v>290</v>
      </c>
      <c r="E69" s="46" t="s">
        <v>304</v>
      </c>
    </row>
    <row r="70" spans="1:5" x14ac:dyDescent="0.3">
      <c r="A70" s="43" t="s">
        <v>285</v>
      </c>
      <c r="B70" s="42" t="s">
        <v>286</v>
      </c>
      <c r="C70" s="43" t="s">
        <v>174</v>
      </c>
      <c r="D70" s="43" t="s">
        <v>291</v>
      </c>
      <c r="E70" s="46" t="s">
        <v>305</v>
      </c>
    </row>
    <row r="71" spans="1:5" x14ac:dyDescent="0.3">
      <c r="A71" s="43" t="s">
        <v>285</v>
      </c>
      <c r="B71" s="42" t="s">
        <v>287</v>
      </c>
      <c r="C71" s="43" t="s">
        <v>288</v>
      </c>
      <c r="D71" s="43" t="s">
        <v>292</v>
      </c>
      <c r="E71" s="46" t="s">
        <v>306</v>
      </c>
    </row>
    <row r="72" spans="1:5" x14ac:dyDescent="0.3">
      <c r="A72" s="43" t="s">
        <v>285</v>
      </c>
      <c r="B72" s="42" t="s">
        <v>287</v>
      </c>
      <c r="C72" s="43" t="s">
        <v>248</v>
      </c>
      <c r="D72" s="43" t="s">
        <v>252</v>
      </c>
      <c r="E72" s="46" t="s">
        <v>307</v>
      </c>
    </row>
    <row r="73" spans="1:5" x14ac:dyDescent="0.3">
      <c r="A73" s="43" t="s">
        <v>285</v>
      </c>
      <c r="B73" s="42" t="s">
        <v>287</v>
      </c>
      <c r="C73" s="43" t="s">
        <v>248</v>
      </c>
      <c r="D73" s="43" t="s">
        <v>254</v>
      </c>
      <c r="E73" s="46" t="s">
        <v>308</v>
      </c>
    </row>
    <row r="74" spans="1:5" x14ac:dyDescent="0.3">
      <c r="A74" s="43" t="s">
        <v>285</v>
      </c>
      <c r="B74" s="42" t="s">
        <v>287</v>
      </c>
      <c r="C74" s="43" t="s">
        <v>289</v>
      </c>
      <c r="D74" s="43" t="s">
        <v>293</v>
      </c>
      <c r="E74" s="46" t="s">
        <v>309</v>
      </c>
    </row>
    <row r="75" spans="1:5" x14ac:dyDescent="0.3">
      <c r="A75" s="43" t="s">
        <v>285</v>
      </c>
      <c r="B75" s="42" t="s">
        <v>287</v>
      </c>
      <c r="C75" s="43" t="s">
        <v>174</v>
      </c>
      <c r="D75" s="43" t="s">
        <v>294</v>
      </c>
      <c r="E75" s="46" t="s">
        <v>310</v>
      </c>
    </row>
    <row r="76" spans="1:5" x14ac:dyDescent="0.3">
      <c r="A76" s="43" t="s">
        <v>285</v>
      </c>
      <c r="B76" s="43" t="s">
        <v>287</v>
      </c>
      <c r="C76" s="43" t="s">
        <v>174</v>
      </c>
      <c r="D76" s="43" t="s">
        <v>295</v>
      </c>
      <c r="E76" s="46" t="s">
        <v>311</v>
      </c>
    </row>
    <row r="77" spans="1:5" x14ac:dyDescent="0.3">
      <c r="A77" s="43" t="s">
        <v>285</v>
      </c>
      <c r="B77" s="42" t="s">
        <v>287</v>
      </c>
      <c r="C77" s="43" t="s">
        <v>174</v>
      </c>
      <c r="D77" s="43" t="s">
        <v>296</v>
      </c>
      <c r="E77" s="46" t="s">
        <v>312</v>
      </c>
    </row>
    <row r="78" spans="1:5" x14ac:dyDescent="0.3">
      <c r="A78" s="43" t="s">
        <v>285</v>
      </c>
      <c r="B78" s="42" t="s">
        <v>287</v>
      </c>
      <c r="C78" s="43" t="s">
        <v>298</v>
      </c>
      <c r="D78" s="43" t="s">
        <v>299</v>
      </c>
      <c r="E78" s="46" t="s">
        <v>300</v>
      </c>
    </row>
    <row r="79" spans="1:5" x14ac:dyDescent="0.3">
      <c r="A79" s="43" t="s">
        <v>285</v>
      </c>
      <c r="B79" s="42" t="s">
        <v>287</v>
      </c>
      <c r="C79" s="43" t="s">
        <v>174</v>
      </c>
      <c r="D79" s="43" t="s">
        <v>297</v>
      </c>
      <c r="E79" s="46" t="s">
        <v>301</v>
      </c>
    </row>
    <row r="80" spans="1:5" x14ac:dyDescent="0.3">
      <c r="A80" s="33" t="s">
        <v>116</v>
      </c>
    </row>
    <row r="82" spans="1:1" x14ac:dyDescent="0.3">
      <c r="A82" s="36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25"/>
  <sheetViews>
    <sheetView showGridLines="0" zoomScaleNormal="100" workbookViewId="0"/>
  </sheetViews>
  <sheetFormatPr defaultColWidth="8.77734375" defaultRowHeight="14.4" x14ac:dyDescent="0.3"/>
  <cols>
    <col min="1" max="1" width="3" customWidth="1"/>
    <col min="2" max="2" width="26" customWidth="1"/>
    <col min="3" max="3" width="104" customWidth="1"/>
  </cols>
  <sheetData>
    <row r="2" spans="2:3" ht="17.399999999999999" x14ac:dyDescent="0.3">
      <c r="B2" s="37" t="s">
        <v>118</v>
      </c>
    </row>
    <row r="4" spans="2:3" ht="19.5" customHeight="1" x14ac:dyDescent="0.3">
      <c r="B4" s="38" t="s">
        <v>119</v>
      </c>
      <c r="C4" s="39"/>
    </row>
    <row r="6" spans="2:3" ht="25.5" customHeight="1" x14ac:dyDescent="0.3">
      <c r="B6" s="40" t="s">
        <v>120</v>
      </c>
      <c r="C6" s="41" t="s">
        <v>121</v>
      </c>
    </row>
    <row r="7" spans="2:3" ht="25.5" customHeight="1" x14ac:dyDescent="0.3">
      <c r="B7" s="40" t="s">
        <v>122</v>
      </c>
      <c r="C7" s="41" t="s">
        <v>123</v>
      </c>
    </row>
    <row r="8" spans="2:3" ht="15" customHeight="1" x14ac:dyDescent="0.3">
      <c r="B8" s="40" t="s">
        <v>124</v>
      </c>
      <c r="C8" s="41" t="s">
        <v>125</v>
      </c>
    </row>
    <row r="9" spans="2:3" ht="15" customHeight="1" x14ac:dyDescent="0.3">
      <c r="B9" s="40" t="s">
        <v>126</v>
      </c>
      <c r="C9" s="41" t="s">
        <v>127</v>
      </c>
    </row>
    <row r="10" spans="2:3" ht="51.75" customHeight="1" x14ac:dyDescent="0.3">
      <c r="B10" s="40" t="s">
        <v>128</v>
      </c>
      <c r="C10" s="41" t="s">
        <v>129</v>
      </c>
    </row>
    <row r="11" spans="2:3" ht="25.5" customHeight="1" x14ac:dyDescent="0.3">
      <c r="B11" s="40" t="s">
        <v>130</v>
      </c>
      <c r="C11" s="41" t="s">
        <v>131</v>
      </c>
    </row>
    <row r="12" spans="2:3" ht="25.5" customHeight="1" x14ac:dyDescent="0.3">
      <c r="B12" s="40" t="s">
        <v>132</v>
      </c>
      <c r="C12" s="41" t="s">
        <v>133</v>
      </c>
    </row>
    <row r="13" spans="2:3" ht="15" customHeight="1" x14ac:dyDescent="0.3">
      <c r="B13" s="40" t="s">
        <v>134</v>
      </c>
      <c r="C13" s="41" t="s">
        <v>135</v>
      </c>
    </row>
    <row r="14" spans="2:3" ht="15" customHeight="1" x14ac:dyDescent="0.3">
      <c r="B14" s="40" t="s">
        <v>136</v>
      </c>
      <c r="C14" s="41" t="s">
        <v>137</v>
      </c>
    </row>
    <row r="15" spans="2:3" ht="19.5" customHeight="1" x14ac:dyDescent="0.3">
      <c r="B15" s="38" t="s">
        <v>138</v>
      </c>
      <c r="C15" s="39"/>
    </row>
    <row r="17" spans="2:3" ht="15" customHeight="1" x14ac:dyDescent="0.3">
      <c r="B17" s="40" t="s">
        <v>139</v>
      </c>
      <c r="C17" s="41" t="s">
        <v>140</v>
      </c>
    </row>
    <row r="18" spans="2:3" ht="25.5" customHeight="1" x14ac:dyDescent="0.3">
      <c r="B18" s="40" t="s">
        <v>141</v>
      </c>
      <c r="C18" s="41" t="s">
        <v>142</v>
      </c>
    </row>
    <row r="19" spans="2:3" ht="25.5" customHeight="1" x14ac:dyDescent="0.3">
      <c r="B19" s="40" t="s">
        <v>143</v>
      </c>
      <c r="C19" s="41" t="s">
        <v>144</v>
      </c>
    </row>
    <row r="20" spans="2:3" ht="25.5" customHeight="1" x14ac:dyDescent="0.3">
      <c r="B20" s="40" t="s">
        <v>145</v>
      </c>
      <c r="C20" s="41" t="s">
        <v>146</v>
      </c>
    </row>
    <row r="21" spans="2:3" ht="19.5" customHeight="1" x14ac:dyDescent="0.3">
      <c r="B21" s="38" t="s">
        <v>147</v>
      </c>
      <c r="C21" s="39"/>
    </row>
    <row r="23" spans="2:3" ht="25.5" customHeight="1" x14ac:dyDescent="0.3">
      <c r="B23" s="40" t="s">
        <v>148</v>
      </c>
      <c r="C23" s="41" t="s">
        <v>149</v>
      </c>
    </row>
    <row r="24" spans="2:3" ht="15" customHeight="1" x14ac:dyDescent="0.3">
      <c r="B24" s="40" t="s">
        <v>150</v>
      </c>
      <c r="C24" s="41" t="s">
        <v>151</v>
      </c>
    </row>
    <row r="25" spans="2:3" ht="25.5" customHeight="1" x14ac:dyDescent="0.3">
      <c r="B25" s="40" t="s">
        <v>152</v>
      </c>
      <c r="C25" s="41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Upload</vt:lpstr>
      <vt:lpstr>Reference</vt:lpstr>
      <vt:lpstr>Teams</vt:lpstr>
      <vt:lpstr>How to load</vt:lpstr>
      <vt:lpstr>REF_DOMAIN</vt:lpstr>
      <vt:lpstr>REF_FUNCTION</vt:lpstr>
      <vt:lpstr>REF_IMPACT</vt:lpstr>
      <vt:lpstr>REF_LAYER</vt:lpstr>
      <vt:lpstr>REF_LEVEL</vt:lpstr>
      <vt:lpstr>REF_NETDOMAIN</vt:lpstr>
      <vt:lpstr>REF_PLANTYPE</vt:lpstr>
      <vt:lpstr>REF_SHIFT</vt:lpstr>
      <vt:lpstr>REF_SUBDOMAIN</vt:lpstr>
      <vt:lpstr>REF_TEAMPATH</vt:lpstr>
      <vt:lpstr>REF_VENDOR</vt:lpstr>
      <vt:lpstr>REF_VERTICAL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Vivek  Mane</cp:lastModifiedBy>
  <cp:revision>0</cp:revision>
  <dcterms:created xsi:type="dcterms:W3CDTF">2026-09-04T04:05:43Z</dcterms:created>
  <dcterms:modified xsi:type="dcterms:W3CDTF">2026-10-22T11:44:37Z</dcterms:modified>
  <cp:category/>
  <cp:contentStatus/>
</cp:coreProperties>
</file>